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Website\earflow\docs\"/>
    </mc:Choice>
  </mc:AlternateContent>
  <xr:revisionPtr revIDLastSave="0" documentId="13_ncr:1_{2C14B17C-E004-4D17-AF6E-5345B5216431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Absensi Bulanan" sheetId="1" r:id="rId1"/>
    <sheet name="Data Karyawan" sheetId="2" r:id="rId2"/>
    <sheet name="Pengaturan" sheetId="3" r:id="rId3"/>
    <sheet name="Ringkasan &amp; Grafik" sheetId="4" r:id="rId4"/>
  </sheets>
  <definedNames>
    <definedName name="_xlnm._FilterDatabase" localSheetId="0" hidden="1">'Absensi Bulanan'!$A$7:$AO$301</definedName>
    <definedName name="_xlnm.Print_Area" localSheetId="0">'Absensi Bulanan'!$A$7:$AO$301</definedName>
    <definedName name="_xlnm.Print_Titles" localSheetId="0">'Absensi Bulanan'!$7:$8</definedName>
    <definedName name="_xlnm.Print_Titles" localSheetId="1">'Data Karyawan'!$3:$3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4" l="1"/>
  <c r="B25" i="4"/>
  <c r="D20" i="4"/>
  <c r="D19" i="4"/>
  <c r="D18" i="4"/>
  <c r="D17" i="4"/>
  <c r="D16" i="4"/>
  <c r="D11" i="4"/>
  <c r="D10" i="4"/>
  <c r="D9" i="4"/>
  <c r="D8" i="4"/>
  <c r="D7" i="4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E7" i="1"/>
  <c r="E4" i="1"/>
  <c r="C4" i="4" s="1"/>
  <c r="D21" i="4" l="1"/>
  <c r="K25" i="4"/>
  <c r="E25" i="4"/>
  <c r="E20" i="4"/>
  <c r="E16" i="4" l="1"/>
  <c r="E17" i="4"/>
  <c r="E19" i="4"/>
  <c r="E18" i="4"/>
  <c r="E21" i="4" l="1"/>
  <c r="E11" i="4"/>
  <c r="E9" i="4"/>
  <c r="E7" i="4"/>
  <c r="E10" i="4"/>
  <c r="E8" i="4"/>
</calcChain>
</file>

<file path=xl/sharedStrings.xml><?xml version="1.0" encoding="utf-8"?>
<sst xmlns="http://schemas.openxmlformats.org/spreadsheetml/2006/main" count="629" uniqueCount="220">
  <si>
    <t>REKAPITULASI &amp; FORM ABSENSI KARYAWAN</t>
  </si>
  <si>
    <t>Tahun</t>
  </si>
  <si>
    <t>Periode:</t>
  </si>
  <si>
    <t>Petunjuk Kode:</t>
  </si>
  <si>
    <t>H</t>
  </si>
  <si>
    <t>Hadir</t>
  </si>
  <si>
    <t>S</t>
  </si>
  <si>
    <t>Sakit</t>
  </si>
  <si>
    <t>I</t>
  </si>
  <si>
    <t>Izin</t>
  </si>
  <si>
    <t>A</t>
  </si>
  <si>
    <t>Alfa</t>
  </si>
  <si>
    <t>C</t>
  </si>
  <si>
    <t>Cuti</t>
  </si>
  <si>
    <t>OFF</t>
  </si>
  <si>
    <t>Libur</t>
  </si>
  <si>
    <t>Bulan</t>
  </si>
  <si>
    <t>Agustus</t>
  </si>
  <si>
    <t>No</t>
  </si>
  <si>
    <t>NOKA / NIK</t>
  </si>
  <si>
    <t>Nama Karyawan</t>
  </si>
  <si>
    <t>% Hadir</t>
  </si>
  <si>
    <t>TOTAL KESELURUHAN</t>
  </si>
  <si>
    <t>MASTER DATA KARYAWAN</t>
  </si>
  <si>
    <t>Nama Lengkap</t>
  </si>
  <si>
    <t>Divisi / Departemen</t>
  </si>
  <si>
    <t>Jabatan</t>
  </si>
  <si>
    <t>Status Kepegawaian</t>
  </si>
  <si>
    <t>Siti Zulfatul</t>
  </si>
  <si>
    <t>A1</t>
  </si>
  <si>
    <t>KARYAWAN</t>
  </si>
  <si>
    <t>AKTIF</t>
  </si>
  <si>
    <t>Eko Riski W</t>
  </si>
  <si>
    <t>Wiyan Asri</t>
  </si>
  <si>
    <t>Siti Rohmawati</t>
  </si>
  <si>
    <t>Syaifira Ila</t>
  </si>
  <si>
    <t>Hidayatus Sholikhah</t>
  </si>
  <si>
    <t>Erika Nur Manda</t>
  </si>
  <si>
    <t>M. Alfarizd</t>
  </si>
  <si>
    <t>Nazar Putra A.</t>
  </si>
  <si>
    <t>Dewi Masfufah</t>
  </si>
  <si>
    <t>Erika Cahya</t>
  </si>
  <si>
    <t>Heri Setyawan</t>
  </si>
  <si>
    <t>Aisyatul Khasanah</t>
  </si>
  <si>
    <t>Lola Afridatu Dina</t>
  </si>
  <si>
    <t>Yanti Oktavia</t>
  </si>
  <si>
    <t>Desi Handayani</t>
  </si>
  <si>
    <t>Feni Eka A</t>
  </si>
  <si>
    <t>Sabita Alya</t>
  </si>
  <si>
    <t>Nur Aini</t>
  </si>
  <si>
    <t>Vanida Herawati</t>
  </si>
  <si>
    <t>Faiq Ardha Sava</t>
  </si>
  <si>
    <t>OUT</t>
  </si>
  <si>
    <t>Fania Dwi W</t>
  </si>
  <si>
    <t>Lintang M</t>
  </si>
  <si>
    <t>Nandita Aurelia</t>
  </si>
  <si>
    <t>Purwati</t>
  </si>
  <si>
    <t>Sylvana Damayanti</t>
  </si>
  <si>
    <t>Sarah Wulandari</t>
  </si>
  <si>
    <t>Uma Parwati</t>
  </si>
  <si>
    <t>Aulia april liana</t>
  </si>
  <si>
    <t>Ardina vivi Amelia</t>
  </si>
  <si>
    <t>Oktavia Nur R</t>
  </si>
  <si>
    <t>Putrinika</t>
  </si>
  <si>
    <t>Aurelia Shinta P</t>
  </si>
  <si>
    <t>Mafdukha Khoiriyah S</t>
  </si>
  <si>
    <t>Henny Wulandari</t>
  </si>
  <si>
    <t>Dinda Amelia Putri</t>
  </si>
  <si>
    <t>Rini Ristanti</t>
  </si>
  <si>
    <t>Zunia Putri P.</t>
  </si>
  <si>
    <t>Siti Aisah</t>
  </si>
  <si>
    <t>Wiwik Ermawati</t>
  </si>
  <si>
    <t>Aprillia Putri Cahyani</t>
  </si>
  <si>
    <t>Esti Armilatus</t>
  </si>
  <si>
    <t>Athala Rania</t>
  </si>
  <si>
    <t>Anisa Bil Hikmah</t>
  </si>
  <si>
    <t>Arbecha Trivany M.A</t>
  </si>
  <si>
    <t>Fitri Permatasari</t>
  </si>
  <si>
    <t>Kovivah</t>
  </si>
  <si>
    <t>Nadin Candra Winata</t>
  </si>
  <si>
    <t>Nur Hidayah</t>
  </si>
  <si>
    <t>Wulan Khusnul K</t>
  </si>
  <si>
    <t>Dina Fitriani</t>
  </si>
  <si>
    <t>Keren Triesya Despita</t>
  </si>
  <si>
    <t>Natasya Dwi F</t>
  </si>
  <si>
    <t>Nur Fani O.</t>
  </si>
  <si>
    <t>Ayu Maulida</t>
  </si>
  <si>
    <t>Ayu Afrani</t>
  </si>
  <si>
    <t>Secma Agustina</t>
  </si>
  <si>
    <t>Elfareta Dwi Agustina</t>
  </si>
  <si>
    <t>Lutfi Juniar Mafikhasani</t>
  </si>
  <si>
    <t>Nunik Wigiastutik</t>
  </si>
  <si>
    <t>Lintang Saputri</t>
  </si>
  <si>
    <t>Dian Herlina Putri</t>
  </si>
  <si>
    <t>Roudlotul Jannah</t>
  </si>
  <si>
    <t>Linda Kurnia R</t>
  </si>
  <si>
    <t>Rindi Oktaviani</t>
  </si>
  <si>
    <t>Dini Triarinda</t>
  </si>
  <si>
    <t>Alisya Hadi Putri</t>
  </si>
  <si>
    <t>Arum Dwi Cahyani</t>
  </si>
  <si>
    <t>Oktavia Tri Ramadhani</t>
  </si>
  <si>
    <t>Sinta Rahayu</t>
  </si>
  <si>
    <t>Rizky Nindi Bunga H</t>
  </si>
  <si>
    <t>Tasya Alicya</t>
  </si>
  <si>
    <t>Zaskia Ayundhira</t>
  </si>
  <si>
    <t>Elvia Tri C.</t>
  </si>
  <si>
    <t>Dinda Khoirunnisak</t>
  </si>
  <si>
    <t>Nafiela Rizky R</t>
  </si>
  <si>
    <t>Cinta Murni Hidayati</t>
  </si>
  <si>
    <t>Sheyra Kurnia F</t>
  </si>
  <si>
    <t>Iva Nur Faidah</t>
  </si>
  <si>
    <t>Dela Oktavia Rahma</t>
  </si>
  <si>
    <t>Elsa Esiana P</t>
  </si>
  <si>
    <t>Pitanti Wahyu</t>
  </si>
  <si>
    <t>Rochma Ayu Lestari</t>
  </si>
  <si>
    <t>Febriana Nova C</t>
  </si>
  <si>
    <t>Silvia Widyanti</t>
  </si>
  <si>
    <t>Desi Lestari</t>
  </si>
  <si>
    <t>Citra Alamanda</t>
  </si>
  <si>
    <t>DAFTAR BULAN</t>
  </si>
  <si>
    <t>NOMOR BULAN</t>
  </si>
  <si>
    <t>DAFTAR TAHUN</t>
  </si>
  <si>
    <t>KODE STATUS</t>
  </si>
  <si>
    <t>KETERANGAN</t>
  </si>
  <si>
    <t>TANGGAL LIBUR NASIONAL</t>
  </si>
  <si>
    <t>KETERANGAN LIBUR</t>
  </si>
  <si>
    <t>Januari</t>
  </si>
  <si>
    <t>Tahun Baru Masehi</t>
  </si>
  <si>
    <t>Februari</t>
  </si>
  <si>
    <t>Isra Mi'raj Nabi Muhammad SAW</t>
  </si>
  <si>
    <t>Maret</t>
  </si>
  <si>
    <t>Tahun Baru Imlek 2577 Kongzili</t>
  </si>
  <si>
    <t>April</t>
  </si>
  <si>
    <t>Alfa / Tanpa Keterangan</t>
  </si>
  <si>
    <t>Hari Suci Nyepi Tahun Baru Saka 1948</t>
  </si>
  <si>
    <t>Mei</t>
  </si>
  <si>
    <t>Hari Raya Idul Fitri 1447 H (Hari 1)</t>
  </si>
  <si>
    <t>Juni</t>
  </si>
  <si>
    <t>Libur / Off</t>
  </si>
  <si>
    <t>Hari Raya Idul Fitri 1447 H (Hari 2)</t>
  </si>
  <si>
    <t>Juli</t>
  </si>
  <si>
    <t>Wafat Yesus Kristus</t>
  </si>
  <si>
    <t>Hari Paskah</t>
  </si>
  <si>
    <t>September</t>
  </si>
  <si>
    <t>Hari Buruh Internasional</t>
  </si>
  <si>
    <t>Oktober</t>
  </si>
  <si>
    <t>Kenaikan Yesus Kristus</t>
  </si>
  <si>
    <t>November</t>
  </si>
  <si>
    <t>Hari Raya Waisak 2570 BE</t>
  </si>
  <si>
    <t>Desember</t>
  </si>
  <si>
    <t>Hari Raya Idul Adha 1447 H</t>
  </si>
  <si>
    <t>Hari Lahir Pancasila</t>
  </si>
  <si>
    <t>Tahun Baru Islam 1448 H</t>
  </si>
  <si>
    <t>Hari Kemerdekaan RI</t>
  </si>
  <si>
    <t>Maulid Nabi Muhammad SAW</t>
  </si>
  <si>
    <t>Hari Raya Natal</t>
  </si>
  <si>
    <t>RINGKASAN &amp; STATISTIK KEHADIRAN BULANAN</t>
  </si>
  <si>
    <t>Periode Aktif:</t>
  </si>
  <si>
    <t>Kategori</t>
  </si>
  <si>
    <t>Kode</t>
  </si>
  <si>
    <t>Total Hari</t>
  </si>
  <si>
    <t>Persentase</t>
  </si>
  <si>
    <t>Posisi</t>
  </si>
  <si>
    <t>STATUS KEPEGAWAIAN</t>
  </si>
  <si>
    <t>NON AKTIF</t>
  </si>
  <si>
    <t>CUTI</t>
  </si>
  <si>
    <t>RESIGN</t>
  </si>
  <si>
    <t>STATISTIK STATUS KEPEGAWAIAN</t>
  </si>
  <si>
    <t>Total Karyawan</t>
  </si>
  <si>
    <t>Karyawan Aktif</t>
  </si>
  <si>
    <t>ALL</t>
  </si>
  <si>
    <t>Karyawan Cuti</t>
  </si>
  <si>
    <t>Karyawan Non-Aktif</t>
  </si>
  <si>
    <t>Karyawan Resign</t>
  </si>
  <si>
    <t>Karyawan Keluar (OUT)</t>
  </si>
  <si>
    <t>TINGKAT KEHADIRAN AKTIF</t>
  </si>
  <si>
    <t>TOTAL KARYAWAN AKTIF</t>
  </si>
  <si>
    <t>TOTAL ALFA &amp; SAKIT/IZIN</t>
  </si>
  <si>
    <t>KARYAWAN OUT / NON-AKTIF</t>
  </si>
  <si>
    <t xml:space="preserve">	Titik Susanti</t>
  </si>
  <si>
    <t>Ika Sriwahyuni</t>
  </si>
  <si>
    <t/>
  </si>
  <si>
    <t>Usfatun Uffanisa</t>
  </si>
  <si>
    <t>Nova Riskia Indriani</t>
  </si>
  <si>
    <t>Siti Hanifah</t>
  </si>
  <si>
    <t>Desi Arum Sari</t>
  </si>
  <si>
    <t>Zuke Liana</t>
  </si>
  <si>
    <t>Putri Anggraini</t>
  </si>
  <si>
    <t>Siti Zumaroh</t>
  </si>
  <si>
    <t>Adinda Nurul Izzati</t>
  </si>
  <si>
    <t>Denisyah Exsanti Anggraini</t>
  </si>
  <si>
    <t>Yuana Prisma Dina</t>
  </si>
  <si>
    <t>Alycia Salsabila A</t>
  </si>
  <si>
    <t>Novita Fitriana</t>
  </si>
  <si>
    <t>Mella Sabrina</t>
  </si>
  <si>
    <t>Zulfatus Saikhah</t>
  </si>
  <si>
    <t>Chelsiya Fika Ayunda Putri</t>
  </si>
  <si>
    <t>Nessa Devi Rahmawati</t>
  </si>
  <si>
    <t>Wahyu Dwi Charima</t>
  </si>
  <si>
    <t>Cahaya Febriana</t>
  </si>
  <si>
    <t>Aulia Dewi Salsabila</t>
  </si>
  <si>
    <t>Eta Restiana Tri Y</t>
  </si>
  <si>
    <t>Arni Lailatus Sholika</t>
  </si>
  <si>
    <t>Anis Rahmawati</t>
  </si>
  <si>
    <t>Habibatul Azkiyah</t>
  </si>
  <si>
    <t>Fitri Laily Ardyanti</t>
  </si>
  <si>
    <t>Mutiara Dwi Anggraini</t>
  </si>
  <si>
    <t>Irawati</t>
  </si>
  <si>
    <t>Wike Septiansya P</t>
  </si>
  <si>
    <t>Lulus Endira F R</t>
  </si>
  <si>
    <t>Elen Angresya</t>
  </si>
  <si>
    <t>Muhamad Afdul Aziz</t>
  </si>
  <si>
    <t>FILTER TAMPILAN ABSENSI</t>
  </si>
  <si>
    <t>Tampilkan Semua</t>
  </si>
  <si>
    <t>Hanya Karyawan Aktif (Sembunyikan OUT)</t>
  </si>
  <si>
    <t>Sembunyikan Karyawan OUT</t>
  </si>
  <si>
    <t>Sembunyikan Karyawan Cuti</t>
  </si>
  <si>
    <t>Hanya Karyawan Cuti</t>
  </si>
  <si>
    <t>Hanya Karyawan OUT</t>
  </si>
  <si>
    <t>Filter Status: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</si>
</sst>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#,#00%"/>
  </numFmts>
  <fonts count="34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b/>
      <sz val="14"/>
      <color rgb="FF1B365D"/>
      <name val="Segoe UI"/>
    </font>
    <font>
      <sz val="10"/>
      <name val="Segoe UI"/>
    </font>
    <font>
      <b/>
      <sz val="15"/>
      <color rgb="FF1B365D"/>
      <name val="Segoe UI"/>
    </font>
    <font>
      <b/>
      <sz val="10"/>
      <name val="Segoe UI"/>
    </font>
    <font>
      <b/>
      <sz val="11"/>
      <name val="Segoe UI"/>
    </font>
    <font>
      <i/>
      <sz val="9"/>
      <color rgb="FF64748B"/>
      <name val="Segoe UI"/>
    </font>
    <font>
      <b/>
      <sz val="10"/>
      <color rgb="FF2B547E"/>
      <name val="Segoe UI"/>
    </font>
    <font>
      <b/>
      <sz val="9"/>
      <color rgb="FF475569"/>
      <name val="Segoe UI"/>
    </font>
    <font>
      <b/>
      <sz val="8"/>
      <color rgb="FF166534"/>
      <name val="Segoe UI"/>
    </font>
    <font>
      <sz val="8"/>
      <name val="Segoe UI"/>
    </font>
    <font>
      <b/>
      <sz val="8"/>
      <color rgb="FF854D0E"/>
      <name val="Segoe UI"/>
    </font>
    <font>
      <b/>
      <sz val="8"/>
      <color rgb="FF3730A3"/>
      <name val="Segoe UI"/>
    </font>
    <font>
      <b/>
      <sz val="8"/>
      <color rgb="FF991B1B"/>
      <name val="Segoe UI"/>
    </font>
    <font>
      <b/>
      <sz val="8"/>
      <color rgb="FF6B21A8"/>
      <name val="Segoe UI"/>
    </font>
    <font>
      <b/>
      <sz val="8"/>
      <color rgb="FF475569"/>
      <name val="Segoe UI"/>
    </font>
    <font>
      <b/>
      <sz val="9"/>
      <color rgb="FFFFFFFF"/>
      <name val="Segoe UI"/>
    </font>
    <font>
      <b/>
      <sz val="11"/>
      <color rgb="FF2B547E"/>
      <name val="Segoe UI"/>
    </font>
    <font>
      <b/>
      <sz val="9"/>
      <color theme="1"/>
      <name val="Segoe UI"/>
      <family val="2"/>
    </font>
    <font>
      <b/>
      <sz val="10"/>
      <color theme="1"/>
      <name val="Segoe UI"/>
      <family val="2"/>
    </font>
    <font>
      <sz val="9"/>
      <color theme="1"/>
      <name val="Segoe UI"/>
      <family val="2"/>
    </font>
    <font>
      <sz val="10"/>
      <name val="Segoe UI"/>
      <family val="2"/>
    </font>
    <font>
      <b/>
      <sz val="9"/>
      <color rgb="FFFFFFFF"/>
      <name val="Segoe UI"/>
    </font>
    <font>
      <sz val="9"/>
      <name val="Segoe UI"/>
    </font>
    <font>
      <sz val="10"/>
      <color theme="1"/>
      <name val="Segoe UI"/>
      <family val="2"/>
    </font>
    <font>
      <b/>
      <sz val="10"/>
      <color rgb="FFFFFFFF"/>
      <name val="Segoe UI"/>
      <family val="2"/>
    </font>
    <font>
      <b/>
      <sz val="9"/>
      <color rgb="FF64748B"/>
      <name val="Segoe UI"/>
      <family val="2"/>
    </font>
    <font>
      <b/>
      <sz val="18"/>
      <color rgb="FF166534"/>
      <name val="Segoe UI"/>
      <family val="2"/>
    </font>
    <font>
      <b/>
      <sz val="18"/>
      <color rgb="FF1B365D"/>
      <name val="Segoe UI"/>
      <family val="2"/>
    </font>
    <font>
      <b/>
      <sz val="18"/>
      <color rgb="FFC5221F"/>
      <name val="Segoe UI"/>
      <family val="2"/>
    </font>
    <font>
      <b/>
      <sz val="18"/>
      <color rgb="FF6B7280"/>
      <name val="Segoe UI"/>
      <family val="2"/>
    </font>
    <font>
      <sz val="8"/>
      <name val="Calibri"/>
      <family val="2"/>
      <scheme val="minor"/>
    </font>
    <font>
      <b/>
      <sz val="10"/>
      <color rgb="FF1B365D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FEF08A"/>
        <bgColor rgb="FFFEF08A"/>
      </patternFill>
    </fill>
    <fill>
      <patternFill patternType="solid">
        <fgColor rgb="FFE0E7FF"/>
        <bgColor rgb="FFE0E7FF"/>
      </patternFill>
    </fill>
    <fill>
      <patternFill patternType="solid">
        <fgColor rgb="FFFEE2E2"/>
        <bgColor rgb="FFFEE2E2"/>
      </patternFill>
    </fill>
    <fill>
      <patternFill patternType="solid">
        <fgColor rgb="FFF3E8FF"/>
        <bgColor rgb="FFF3E8FF"/>
      </patternFill>
    </fill>
    <fill>
      <patternFill patternType="solid">
        <fgColor rgb="FFE2E8F0"/>
        <bgColor rgb="FFE2E8F0"/>
      </patternFill>
    </fill>
    <fill>
      <patternFill patternType="solid">
        <fgColor rgb="FFFF3F3F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1B365D"/>
        <bgColor indexed="64"/>
      </patternFill>
    </fill>
    <fill>
      <patternFill patternType="solid">
        <fgColor rgb="FF294A6E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1F5F9"/>
        <bgColor indexed="64"/>
      </patternFill>
    </fill>
  </fills>
  <borders count="27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CBD5E1"/>
      </left>
      <right/>
      <top/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/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CE0E6"/>
      </left>
      <right style="thin">
        <color rgb="FFDCE0E6"/>
      </right>
      <top style="thin">
        <color rgb="FFDCE0E6"/>
      </top>
      <bottom style="thin">
        <color rgb="FFDCE0E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DCE0E6"/>
      </left>
      <right style="thin">
        <color rgb="FFDCE0E6"/>
      </right>
      <top/>
      <bottom style="thin">
        <color rgb="FFDCE0E6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8" fillId="0" borderId="0" xfId="0" applyFont="1"/>
    <xf numFmtId="0" fontId="3" fillId="0" borderId="2" xfId="0" applyFont="1" applyBorder="1"/>
    <xf numFmtId="0" fontId="5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23" fillId="11" borderId="0" xfId="0" applyFont="1" applyFill="1"/>
    <xf numFmtId="165" fontId="24" fillId="0" borderId="6" xfId="0" applyNumberFormat="1" applyFont="1" applyBorder="1"/>
    <xf numFmtId="0" fontId="24" fillId="0" borderId="6" xfId="0" applyFont="1" applyBorder="1"/>
    <xf numFmtId="0" fontId="25" fillId="0" borderId="6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6" fillId="12" borderId="6" xfId="0" applyFont="1" applyFill="1" applyBorder="1" applyAlignment="1">
      <alignment horizontal="center"/>
    </xf>
    <xf numFmtId="0" fontId="26" fillId="13" borderId="7" xfId="0" applyFont="1" applyFill="1" applyBorder="1" applyAlignment="1">
      <alignment horizontal="left"/>
    </xf>
    <xf numFmtId="0" fontId="26" fillId="13" borderId="7" xfId="0" applyFont="1" applyFill="1" applyBorder="1" applyAlignment="1">
      <alignment horizontal="center"/>
    </xf>
    <xf numFmtId="0" fontId="26" fillId="13" borderId="9" xfId="0" applyFont="1" applyFill="1" applyBorder="1" applyAlignment="1">
      <alignment horizontal="center"/>
    </xf>
    <xf numFmtId="0" fontId="20" fillId="14" borderId="8" xfId="0" applyFont="1" applyFill="1" applyBorder="1" applyAlignment="1">
      <alignment horizontal="left"/>
    </xf>
    <xf numFmtId="0" fontId="20" fillId="14" borderId="8" xfId="0" applyFont="1" applyFill="1" applyBorder="1" applyAlignment="1">
      <alignment horizontal="center"/>
    </xf>
    <xf numFmtId="166" fontId="20" fillId="14" borderId="6" xfId="0" applyNumberFormat="1" applyFont="1" applyFill="1" applyBorder="1" applyAlignment="1">
      <alignment horizontal="center"/>
    </xf>
    <xf numFmtId="0" fontId="25" fillId="0" borderId="7" xfId="0" applyFont="1" applyFill="1" applyBorder="1" applyAlignment="1">
      <alignment horizontal="left"/>
    </xf>
    <xf numFmtId="0" fontId="25" fillId="0" borderId="7" xfId="0" applyFont="1" applyFill="1" applyBorder="1" applyAlignment="1">
      <alignment horizontal="center"/>
    </xf>
    <xf numFmtId="166" fontId="25" fillId="0" borderId="9" xfId="0" applyNumberFormat="1" applyFont="1" applyFill="1" applyBorder="1" applyAlignment="1">
      <alignment horizontal="center"/>
    </xf>
    <xf numFmtId="0" fontId="0" fillId="0" borderId="0" xfId="0" applyAlignment="1" applyProtection="1">
      <alignment horizontal="center"/>
    </xf>
    <xf numFmtId="0" fontId="4" fillId="0" borderId="0" xfId="0" applyFont="1" applyProtection="1"/>
    <xf numFmtId="0" fontId="0" fillId="0" borderId="0" xfId="0" applyAlignment="1" applyProtection="1"/>
    <xf numFmtId="0" fontId="5" fillId="0" borderId="0" xfId="0" applyFont="1" applyProtection="1"/>
    <xf numFmtId="0" fontId="7" fillId="0" borderId="0" xfId="0" applyFont="1" applyProtection="1"/>
    <xf numFmtId="0" fontId="8" fillId="0" borderId="0" xfId="0" applyFont="1" applyProtection="1"/>
    <xf numFmtId="0" fontId="9" fillId="0" borderId="0" xfId="0" applyFont="1" applyProtection="1"/>
    <xf numFmtId="0" fontId="10" fillId="4" borderId="2" xfId="0" applyFont="1" applyFill="1" applyBorder="1" applyAlignment="1" applyProtection="1">
      <alignment horizontal="center" vertical="center"/>
    </xf>
    <xf numFmtId="0" fontId="11" fillId="0" borderId="0" xfId="0" applyFont="1" applyAlignment="1" applyProtection="1">
      <alignment horizontal="left" vertical="center"/>
    </xf>
    <xf numFmtId="0" fontId="12" fillId="5" borderId="2" xfId="0" applyFont="1" applyFill="1" applyBorder="1" applyAlignment="1" applyProtection="1">
      <alignment horizontal="center" vertical="center"/>
    </xf>
    <xf numFmtId="0" fontId="13" fillId="6" borderId="2" xfId="0" applyFont="1" applyFill="1" applyBorder="1" applyAlignment="1" applyProtection="1">
      <alignment horizontal="center" vertical="center"/>
    </xf>
    <xf numFmtId="0" fontId="14" fillId="7" borderId="2" xfId="0" applyFont="1" applyFill="1" applyBorder="1" applyAlignment="1" applyProtection="1">
      <alignment horizontal="center" vertical="center"/>
    </xf>
    <xf numFmtId="0" fontId="15" fillId="8" borderId="2" xfId="0" applyFont="1" applyFill="1" applyBorder="1" applyAlignment="1" applyProtection="1">
      <alignment horizontal="center" vertical="center"/>
    </xf>
    <xf numFmtId="0" fontId="16" fillId="9" borderId="2" xfId="0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</xf>
    <xf numFmtId="0" fontId="0" fillId="0" borderId="0" xfId="0" applyProtection="1"/>
    <xf numFmtId="0" fontId="0" fillId="0" borderId="0" xfId="0" applyAlignment="1" applyProtection="1">
      <alignment horizontal="center" vertical="center"/>
    </xf>
    <xf numFmtId="0" fontId="25" fillId="0" borderId="20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left" vertical="center"/>
      <protection locked="0"/>
    </xf>
    <xf numFmtId="0" fontId="19" fillId="0" borderId="19" xfId="0" applyFont="1" applyBorder="1" applyAlignment="1" applyProtection="1">
      <alignment horizontal="center" vertical="center"/>
    </xf>
    <xf numFmtId="0" fontId="19" fillId="0" borderId="20" xfId="0" applyFont="1" applyBorder="1" applyAlignment="1" applyProtection="1">
      <alignment horizontal="center" vertical="center"/>
    </xf>
    <xf numFmtId="0" fontId="19" fillId="0" borderId="20" xfId="0" applyFont="1" applyBorder="1" applyAlignment="1" applyProtection="1">
      <alignment horizontal="left" vertical="center"/>
    </xf>
    <xf numFmtId="0" fontId="21" fillId="0" borderId="20" xfId="0" applyFont="1" applyBorder="1" applyAlignment="1" applyProtection="1">
      <alignment horizontal="center" vertical="center"/>
      <protection locked="0"/>
    </xf>
    <xf numFmtId="0" fontId="21" fillId="0" borderId="20" xfId="0" applyFont="1" applyBorder="1" applyAlignment="1" applyProtection="1">
      <alignment horizontal="center" vertical="center"/>
    </xf>
    <xf numFmtId="0" fontId="19" fillId="15" borderId="20" xfId="0" applyFont="1" applyFill="1" applyBorder="1" applyAlignment="1" applyProtection="1">
      <alignment horizontal="center"/>
    </xf>
    <xf numFmtId="0" fontId="20" fillId="15" borderId="20" xfId="0" applyFont="1" applyFill="1" applyBorder="1" applyAlignment="1" applyProtection="1">
      <alignment horizontal="center"/>
    </xf>
    <xf numFmtId="166" fontId="20" fillId="15" borderId="20" xfId="0" applyNumberFormat="1" applyFont="1" applyFill="1" applyBorder="1" applyAlignment="1" applyProtection="1">
      <alignment horizontal="center"/>
    </xf>
    <xf numFmtId="166" fontId="21" fillId="0" borderId="20" xfId="0" applyNumberFormat="1" applyFont="1" applyBorder="1" applyAlignment="1" applyProtection="1">
      <alignment horizontal="center" vertical="center"/>
    </xf>
    <xf numFmtId="0" fontId="0" fillId="0" borderId="20" xfId="0" applyBorder="1" applyAlignment="1" applyProtection="1">
      <alignment horizontal="center"/>
    </xf>
    <xf numFmtId="0" fontId="0" fillId="0" borderId="20" xfId="0" applyBorder="1" applyAlignment="1" applyProtection="1">
      <alignment horizontal="left"/>
    </xf>
    <xf numFmtId="166" fontId="0" fillId="0" borderId="20" xfId="0" applyNumberFormat="1" applyBorder="1" applyAlignment="1" applyProtection="1">
      <alignment horizontal="center"/>
    </xf>
    <xf numFmtId="0" fontId="0" fillId="0" borderId="20" xfId="0" applyBorder="1" applyAlignment="1" applyProtection="1">
      <alignment horizontal="center"/>
      <protection locked="0"/>
    </xf>
    <xf numFmtId="0" fontId="25" fillId="0" borderId="6" xfId="0" applyFont="1" applyBorder="1" applyAlignment="1">
      <alignment horizontal="left"/>
    </xf>
    <xf numFmtId="0" fontId="25" fillId="0" borderId="9" xfId="0" applyFont="1" applyBorder="1" applyAlignment="1">
      <alignment horizontal="left"/>
    </xf>
    <xf numFmtId="0" fontId="25" fillId="0" borderId="10" xfId="0" applyFont="1" applyBorder="1" applyAlignment="1">
      <alignment horizontal="left"/>
    </xf>
    <xf numFmtId="0" fontId="20" fillId="0" borderId="0" xfId="0" applyFont="1" applyAlignment="1" applyProtection="1">
      <alignment horizontal="right" vertical="center"/>
    </xf>
    <xf numFmtId="0" fontId="6" fillId="3" borderId="23" xfId="0" applyFont="1" applyFill="1" applyBorder="1" applyAlignment="1" applyProtection="1">
      <alignment horizontal="center" vertical="center"/>
      <protection locked="0"/>
    </xf>
    <xf numFmtId="0" fontId="33" fillId="15" borderId="24" xfId="0" applyFont="1" applyFill="1" applyBorder="1" applyAlignment="1" applyProtection="1">
      <alignment horizontal="left" vertical="center"/>
      <protection locked="0"/>
    </xf>
    <xf numFmtId="0" fontId="0" fillId="0" borderId="25" xfId="0" applyBorder="1" applyAlignment="1" applyProtection="1">
      <alignment horizontal="left" vertical="center"/>
      <protection locked="0"/>
    </xf>
    <xf numFmtId="0" fontId="17" fillId="0" borderId="3" xfId="0" applyFont="1" applyBorder="1" applyAlignment="1" applyProtection="1">
      <alignment horizontal="center" vertical="center"/>
    </xf>
    <xf numFmtId="0" fontId="0" fillId="0" borderId="21" xfId="0" applyBorder="1" applyProtection="1"/>
    <xf numFmtId="0" fontId="20" fillId="15" borderId="20" xfId="0" applyFont="1" applyFill="1" applyBorder="1" applyAlignment="1" applyProtection="1">
      <alignment horizontal="center"/>
    </xf>
    <xf numFmtId="0" fontId="0" fillId="15" borderId="20" xfId="0" applyFill="1" applyBorder="1" applyAlignment="1" applyProtection="1">
      <alignment horizontal="center"/>
    </xf>
    <xf numFmtId="0" fontId="5" fillId="0" borderId="3" xfId="0" applyFont="1" applyBorder="1" applyAlignment="1" applyProtection="1">
      <alignment horizontal="center" vertical="center"/>
    </xf>
    <xf numFmtId="0" fontId="0" fillId="0" borderId="4" xfId="0" applyBorder="1" applyProtection="1"/>
    <xf numFmtId="0" fontId="0" fillId="0" borderId="5" xfId="0" applyBorder="1" applyProtection="1"/>
    <xf numFmtId="0" fontId="20" fillId="0" borderId="22" xfId="0" applyFont="1" applyBorder="1" applyAlignment="1" applyProtection="1">
      <alignment horizontal="center" vertical="center" wrapText="1"/>
    </xf>
    <xf numFmtId="0" fontId="20" fillId="0" borderId="3" xfId="0" applyFont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27" fillId="15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30" fillId="15" borderId="1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31" fillId="15" borderId="11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6" fillId="12" borderId="0" xfId="0" applyFont="1" applyFill="1" applyBorder="1" applyAlignment="1">
      <alignment horizontal="center"/>
    </xf>
    <xf numFmtId="166" fontId="28" fillId="15" borderId="11" xfId="0" applyNumberFormat="1" applyFont="1" applyFill="1" applyBorder="1" applyAlignment="1">
      <alignment horizontal="center" vertical="center"/>
    </xf>
    <xf numFmtId="0" fontId="29" fillId="15" borderId="11" xfId="0" applyFont="1" applyFill="1" applyBorder="1" applyAlignment="1">
      <alignment horizontal="center" vertical="center"/>
    </xf>
    <xf numFmtId="0" fontId="25" fillId="0" borderId="26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center" vertical="center" wrapText="1"/>
    </xf>
    <xf numFmtId="0" fontId="25" fillId="0" borderId="3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left" vertical="center"/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0" fontId="25" fillId="10" borderId="3" xfId="0" applyFont="1" applyFill="1" applyBorder="1" applyAlignment="1" applyProtection="1">
      <alignment horizontal="center" vertical="center"/>
      <protection locked="0"/>
    </xf>
    <xf numFmtId="0" fontId="25" fillId="10" borderId="3" xfId="0" applyFont="1" applyFill="1" applyBorder="1" applyAlignment="1" applyProtection="1">
      <alignment horizontal="left" vertical="center"/>
      <protection locked="0"/>
    </xf>
    <xf numFmtId="0" fontId="22" fillId="10" borderId="3" xfId="0" applyFont="1" applyFill="1" applyBorder="1" applyAlignment="1" applyProtection="1">
      <alignment horizontal="center" vertical="center"/>
      <protection locked="0"/>
    </xf>
    <xf numFmtId="1" fontId="25" fillId="0" borderId="3" xfId="0" applyNumberFormat="1" applyFont="1" applyBorder="1" applyAlignment="1" applyProtection="1">
      <alignment horizontal="center" vertical="center"/>
      <protection locked="0"/>
    </xf>
    <xf numFmtId="1" fontId="25" fillId="10" borderId="3" xfId="0" applyNumberFormat="1" applyFont="1" applyFill="1" applyBorder="1" applyAlignment="1" applyProtection="1">
      <alignment horizontal="center" vertical="center"/>
      <protection locked="0"/>
    </xf>
    <xf numFmtId="0" fontId="22" fillId="10" borderId="3" xfId="0" applyFont="1" applyFill="1" applyBorder="1" applyAlignment="1" applyProtection="1">
      <alignment horizontal="left" vertical="center"/>
      <protection locked="0"/>
    </xf>
    <xf numFmtId="0" fontId="25" fillId="0" borderId="3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6">
    <dxf>
      <font>
        <b/>
        <i val="0"/>
        <color rgb="FF6B21A8"/>
      </font>
      <fill>
        <patternFill>
          <bgColor rgb="FFE9D5FF"/>
        </patternFill>
      </fill>
    </dxf>
    <dxf>
      <font>
        <b/>
        <i val="0"/>
        <color rgb="FF854D0E"/>
      </font>
      <fill>
        <patternFill>
          <bgColor rgb="FFFDE68A"/>
        </patternFill>
      </fill>
    </dxf>
    <dxf>
      <font>
        <b/>
        <i val="0"/>
        <color rgb="FF374151"/>
      </font>
      <fill>
        <patternFill>
          <bgColor rgb="FFE5E7EB"/>
        </patternFill>
      </fill>
    </dxf>
    <dxf>
      <font>
        <b/>
        <i val="0"/>
        <color rgb="FF991B1B"/>
      </font>
      <fill>
        <patternFill>
          <bgColor rgb="FFFECACA"/>
        </patternFill>
      </fill>
    </dxf>
    <dxf>
      <font>
        <b/>
        <i val="0"/>
        <color rgb="FF166534"/>
      </font>
      <fill>
        <patternFill>
          <bgColor rgb="FFDCFCE7"/>
        </patternFill>
      </fill>
    </dxf>
    <dxf>
      <font>
        <color rgb="FF6B21A8"/>
      </font>
      <fill>
        <patternFill>
          <bgColor rgb="FFF3E8FF"/>
        </patternFill>
      </fill>
    </dxf>
    <dxf>
      <font>
        <color rgb="FF854D0E"/>
      </font>
      <fill>
        <patternFill>
          <bgColor rgb="FFFEF9C3"/>
        </patternFill>
      </fill>
    </dxf>
    <dxf>
      <font>
        <color rgb="FF4B5563"/>
      </font>
      <fill>
        <patternFill>
          <bgColor rgb="FFF3F4F6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6B21A8"/>
      </font>
      <fill>
        <patternFill>
          <bgColor rgb="FFF3E8FF"/>
        </patternFill>
      </fill>
    </dxf>
    <dxf>
      <font>
        <color rgb="FF854D0E"/>
      </font>
      <fill>
        <patternFill>
          <bgColor rgb="FFFEF9C3"/>
        </patternFill>
      </fill>
    </dxf>
    <dxf>
      <font>
        <color rgb="FF4B5563"/>
      </font>
      <fill>
        <patternFill>
          <bgColor rgb="FFF3F4F6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D7D7D7"/>
      </font>
      <fill>
        <patternFill>
          <bgColor rgb="FFF8F9FA"/>
        </patternFill>
      </fill>
    </dxf>
    <dxf>
      <font>
        <color rgb="FFD7D7D7"/>
      </font>
      <fill>
        <patternFill>
          <bgColor rgb="FFF8F9FA"/>
        </patternFill>
      </fill>
    </dxf>
    <dxf>
      <font>
        <color rgb="FFD7D7D7"/>
      </font>
      <fill>
        <patternFill>
          <bgColor rgb="FFF8F9FA"/>
        </patternFill>
      </fill>
    </dxf>
    <dxf>
      <font>
        <color rgb="FFD7D7D7"/>
      </font>
      <fill>
        <patternFill>
          <bgColor rgb="FFF8F9FA"/>
        </patternFill>
      </fill>
    </dxf>
    <dxf>
      <font>
        <color rgb="FFD7D7D7"/>
      </font>
      <fill>
        <patternFill>
          <bgColor rgb="FFF8F9FA"/>
        </patternFill>
      </fill>
    </dxf>
    <dxf>
      <font>
        <color rgb="FFB91C1C"/>
      </font>
      <fill>
        <patternFill>
          <bgColor rgb="FFFEE2E2"/>
        </patternFill>
      </fill>
    </dxf>
    <dxf>
      <font>
        <color rgb="FF6B7280"/>
      </font>
      <fill>
        <patternFill>
          <bgColor rgb="FFF3F4F6"/>
        </patternFill>
      </fill>
    </dxf>
    <dxf>
      <font>
        <b/>
        <i val="0"/>
        <color rgb="FF9A3412"/>
      </font>
      <fill>
        <patternFill>
          <bgColor rgb="FFFFEDD5"/>
        </patternFill>
      </fill>
    </dxf>
    <dxf>
      <font>
        <b/>
        <i val="0"/>
        <color rgb="FF991B1B"/>
      </font>
      <fill>
        <patternFill>
          <bgColor rgb="FFFECACA"/>
        </patternFill>
      </fill>
    </dxf>
    <dxf>
      <font>
        <b/>
        <i val="0"/>
        <color rgb="FF854D0E"/>
      </font>
      <fill>
        <patternFill>
          <bgColor rgb="FFFEF9C3"/>
        </patternFill>
      </fill>
    </dxf>
    <dxf>
      <font>
        <b/>
        <i val="0"/>
        <color rgb="FF075985"/>
      </font>
      <fill>
        <patternFill>
          <bgColor rgb="FFE0F2FE"/>
        </patternFill>
      </fill>
    </dxf>
    <dxf>
      <font>
        <b/>
        <i val="0"/>
        <color rgb="FF166534"/>
      </font>
      <fill>
        <patternFill>
          <bgColor rgb="FFDCFCE7"/>
        </patternFill>
      </fill>
    </dxf>
    <dxf>
      <font>
        <color rgb="FFF0F0F0"/>
      </font>
      <fill>
        <patternFill>
          <bgColor rgb="FFF0F0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Distribusi Absensi Karyawan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'Ringkasan &amp; Grafik'!$D$6</c:f>
              <c:strCache>
                <c:ptCount val="1"/>
                <c:pt idx="0">
                  <c:v>Total Hari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'Ringkasan &amp; Grafik'!$B$7:$B$11</c:f>
              <c:strCache>
                <c:ptCount val="5"/>
                <c:pt idx="0">
                  <c:v>Hadir</c:v>
                </c:pt>
                <c:pt idx="1">
                  <c:v>Sakit</c:v>
                </c:pt>
                <c:pt idx="2">
                  <c:v>Izin</c:v>
                </c:pt>
                <c:pt idx="3">
                  <c:v>Alfa / Tanpa Keterangan</c:v>
                </c:pt>
                <c:pt idx="4">
                  <c:v>Cuti</c:v>
                </c:pt>
              </c:strCache>
            </c:strRef>
          </c:cat>
          <c:val>
            <c:numRef>
              <c:f>'Ringkasan &amp; Grafik'!$D$7:$D$11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B-493C-B5A7-0FA957B08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5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O301"/>
  <sheetViews>
    <sheetView workbookViewId="0">
      <pane xSplit="4" ySplit="8" topLeftCell="E9" activePane="bottomRight" state="frozen"/>
      <selection pane="topRight" activeCell="E1" sqref="E1"/>
      <selection pane="bottomLeft" activeCell="A9" sqref="A9"/>
      <selection pane="bottomRight"/>
    </sheetView>
  </sheetViews>
  <sheetFormatPr defaultRowHeight="15" x14ac:dyDescent="0.25"/>
  <cols>
    <col min="1" max="1" width="3.85546875" style="41" customWidth="1"/>
    <col min="2" max="2" width="16" style="41" customWidth="1"/>
    <col min="3" max="3" width="22" style="41" customWidth="1"/>
    <col min="4" max="4" width="10.42578125" style="41" customWidth="1"/>
    <col min="5" max="35" width="4.140625" style="41" customWidth="1"/>
    <col min="36" max="40" width="10" style="41" customWidth="1"/>
    <col min="41" max="41" width="13" style="41" customWidth="1"/>
    <col min="42" max="16384" width="9.140625" style="41"/>
  </cols>
  <sheetData>
    <row r="2" spans="1:41" ht="24.95" customHeight="1" x14ac:dyDescent="0.45">
      <c r="A2" s="26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</row>
    <row r="4" spans="1:41" ht="20.100000000000001" customHeight="1" x14ac:dyDescent="0.25">
      <c r="B4" s="28" t="s">
        <v>1</v>
      </c>
      <c r="C4" s="39">
        <v>2026</v>
      </c>
      <c r="D4" s="29" t="s">
        <v>2</v>
      </c>
      <c r="E4" s="30" t="str">
        <f>TEXT(DATE(C4, VLOOKUP(C5, Pengaturan!A2:B13, 2, FALSE), 1), "MMMM YYYY")</f>
        <v>August 2026</v>
      </c>
      <c r="H4" s="31" t="s">
        <v>3</v>
      </c>
      <c r="I4" s="32" t="s">
        <v>4</v>
      </c>
      <c r="J4" s="33" t="s">
        <v>5</v>
      </c>
      <c r="K4" s="34" t="s">
        <v>6</v>
      </c>
      <c r="L4" s="33" t="s">
        <v>7</v>
      </c>
      <c r="M4" s="35" t="s">
        <v>8</v>
      </c>
      <c r="N4" s="33" t="s">
        <v>9</v>
      </c>
      <c r="O4" s="36" t="s">
        <v>10</v>
      </c>
      <c r="P4" s="33" t="s">
        <v>11</v>
      </c>
      <c r="Q4" s="37" t="s">
        <v>12</v>
      </c>
      <c r="R4" s="33" t="s">
        <v>13</v>
      </c>
      <c r="S4" s="38" t="s">
        <v>14</v>
      </c>
      <c r="T4" s="33" t="s">
        <v>15</v>
      </c>
    </row>
    <row r="5" spans="1:41" ht="20.100000000000001" customHeight="1" x14ac:dyDescent="0.25">
      <c r="B5" s="28" t="s">
        <v>16</v>
      </c>
      <c r="C5" s="62" t="s">
        <v>17</v>
      </c>
    </row>
    <row r="6" spans="1:41" x14ac:dyDescent="0.25">
      <c r="B6" s="61" t="s">
        <v>219</v>
      </c>
      <c r="C6" s="63" t="s">
        <v>213</v>
      </c>
      <c r="D6" s="64"/>
    </row>
    <row r="7" spans="1:41" ht="21.95" customHeight="1" x14ac:dyDescent="0.25">
      <c r="A7" s="73" t="s">
        <v>18</v>
      </c>
      <c r="B7" s="73" t="s">
        <v>19</v>
      </c>
      <c r="C7" s="72" t="s">
        <v>20</v>
      </c>
      <c r="D7" s="72" t="s">
        <v>162</v>
      </c>
      <c r="E7" s="69" t="str">
        <f>"REKAPITULASI &amp; FORM ABSENSI KARYAWAN BULAN " &amp; UPPER($C$5) &amp; " " &amp; $C$4</f>
        <v>REKAPITULASI &amp; FORM ABSENSI KARYAWAN BULAN AGUSTUS 2026</v>
      </c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1"/>
      <c r="AJ7" s="65" t="s">
        <v>4</v>
      </c>
      <c r="AK7" s="65" t="s">
        <v>6</v>
      </c>
      <c r="AL7" s="65" t="s">
        <v>8</v>
      </c>
      <c r="AM7" s="65" t="s">
        <v>10</v>
      </c>
      <c r="AN7" s="65" t="s">
        <v>12</v>
      </c>
      <c r="AO7" s="65" t="s">
        <v>21</v>
      </c>
    </row>
    <row r="8" spans="1:41" ht="20.100000000000001" customHeight="1" x14ac:dyDescent="0.25">
      <c r="A8" s="66"/>
      <c r="B8" s="66"/>
      <c r="C8" s="66"/>
      <c r="D8" s="66"/>
      <c r="E8" s="45">
        <f>IF(1&lt;=DAY(EOMONTH(DATE($C$4,VLOOKUP($C$5,Pengaturan!$A$2:$B$13,2,FALSE),1),0)),1,"")</f>
        <v>1</v>
      </c>
      <c r="F8" s="45">
        <f>IF(2&lt;=DAY(EOMONTH(DATE($C$4,VLOOKUP($C$5,Pengaturan!$A$2:$B$13,2,FALSE),1),0)),2,"")</f>
        <v>2</v>
      </c>
      <c r="G8" s="45">
        <f>IF(3&lt;=DAY(EOMONTH(DATE($C$4,VLOOKUP($C$5,Pengaturan!$A$2:$B$13,2,FALSE),1),0)),3,"")</f>
        <v>3</v>
      </c>
      <c r="H8" s="45">
        <f>IF(4&lt;=DAY(EOMONTH(DATE($C$4,VLOOKUP($C$5,Pengaturan!$A$2:$B$13,2,FALSE),1),0)),4,"")</f>
        <v>4</v>
      </c>
      <c r="I8" s="45">
        <f>IF(5&lt;=DAY(EOMONTH(DATE($C$4,VLOOKUP($C$5,Pengaturan!$A$2:$B$13,2,FALSE),1),0)),5,"")</f>
        <v>5</v>
      </c>
      <c r="J8" s="45">
        <f>IF(6&lt;=DAY(EOMONTH(DATE($C$4,VLOOKUP($C$5,Pengaturan!$A$2:$B$13,2,FALSE),1),0)),6,"")</f>
        <v>6</v>
      </c>
      <c r="K8" s="45">
        <f>IF(7&lt;=DAY(EOMONTH(DATE($C$4,VLOOKUP($C$5,Pengaturan!$A$2:$B$13,2,FALSE),1),0)),7,"")</f>
        <v>7</v>
      </c>
      <c r="L8" s="45">
        <f>IF(8&lt;=DAY(EOMONTH(DATE($C$4,VLOOKUP($C$5,Pengaturan!$A$2:$B$13,2,FALSE),1),0)),8,"")</f>
        <v>8</v>
      </c>
      <c r="M8" s="45">
        <f>IF(9&lt;=DAY(EOMONTH(DATE($C$4,VLOOKUP($C$5,Pengaturan!$A$2:$B$13,2,FALSE),1),0)),9,"")</f>
        <v>9</v>
      </c>
      <c r="N8" s="45">
        <f>IF(10&lt;=DAY(EOMONTH(DATE($C$4,VLOOKUP($C$5,Pengaturan!$A$2:$B$13,2,FALSE),1),0)),10,"")</f>
        <v>10</v>
      </c>
      <c r="O8" s="45">
        <f>IF(11&lt;=DAY(EOMONTH(DATE($C$4,VLOOKUP($C$5,Pengaturan!$A$2:$B$13,2,FALSE),1),0)),11,"")</f>
        <v>11</v>
      </c>
      <c r="P8" s="45">
        <f>IF(12&lt;=DAY(EOMONTH(DATE($C$4,VLOOKUP($C$5,Pengaturan!$A$2:$B$13,2,FALSE),1),0)),12,"")</f>
        <v>12</v>
      </c>
      <c r="Q8" s="45">
        <f>IF(13&lt;=DAY(EOMONTH(DATE($C$4,VLOOKUP($C$5,Pengaturan!$A$2:$B$13,2,FALSE),1),0)),13,"")</f>
        <v>13</v>
      </c>
      <c r="R8" s="45">
        <f>IF(14&lt;=DAY(EOMONTH(DATE($C$4,VLOOKUP($C$5,Pengaturan!$A$2:$B$13,2,FALSE),1),0)),14,"")</f>
        <v>14</v>
      </c>
      <c r="S8" s="45">
        <f>IF(15&lt;=DAY(EOMONTH(DATE($C$4,VLOOKUP($C$5,Pengaturan!$A$2:$B$13,2,FALSE),1),0)),15,"")</f>
        <v>15</v>
      </c>
      <c r="T8" s="45">
        <f>IF(16&lt;=DAY(EOMONTH(DATE($C$4,VLOOKUP($C$5,Pengaturan!$A$2:$B$13,2,FALSE),1),0)),16,"")</f>
        <v>16</v>
      </c>
      <c r="U8" s="45">
        <f>IF(17&lt;=DAY(EOMONTH(DATE($C$4,VLOOKUP($C$5,Pengaturan!$A$2:$B$13,2,FALSE),1),0)),17,"")</f>
        <v>17</v>
      </c>
      <c r="V8" s="45">
        <f>IF(18&lt;=DAY(EOMONTH(DATE($C$4,VLOOKUP($C$5,Pengaturan!$A$2:$B$13,2,FALSE),1),0)),18,"")</f>
        <v>18</v>
      </c>
      <c r="W8" s="45">
        <f>IF(19&lt;=DAY(EOMONTH(DATE($C$4,VLOOKUP($C$5,Pengaturan!$A$2:$B$13,2,FALSE),1),0)),19,"")</f>
        <v>19</v>
      </c>
      <c r="X8" s="45">
        <f>IF(20&lt;=DAY(EOMONTH(DATE($C$4,VLOOKUP($C$5,Pengaturan!$A$2:$B$13,2,FALSE),1),0)),20,"")</f>
        <v>20</v>
      </c>
      <c r="Y8" s="45">
        <f>IF(21&lt;=DAY(EOMONTH(DATE($C$4,VLOOKUP($C$5,Pengaturan!$A$2:$B$13,2,FALSE),1),0)),21,"")</f>
        <v>21</v>
      </c>
      <c r="Z8" s="45">
        <f>IF(22&lt;=DAY(EOMONTH(DATE($C$4,VLOOKUP($C$5,Pengaturan!$A$2:$B$13,2,FALSE),1),0)),22,"")</f>
        <v>22</v>
      </c>
      <c r="AA8" s="45">
        <f>IF(23&lt;=DAY(EOMONTH(DATE($C$4,VLOOKUP($C$5,Pengaturan!$A$2:$B$13,2,FALSE),1),0)),23,"")</f>
        <v>23</v>
      </c>
      <c r="AB8" s="45">
        <f>IF(24&lt;=DAY(EOMONTH(DATE($C$4,VLOOKUP($C$5,Pengaturan!$A$2:$B$13,2,FALSE),1),0)),24,"")</f>
        <v>24</v>
      </c>
      <c r="AC8" s="45">
        <f>IF(25&lt;=DAY(EOMONTH(DATE($C$4,VLOOKUP($C$5,Pengaturan!$A$2:$B$13,2,FALSE),1),0)),25,"")</f>
        <v>25</v>
      </c>
      <c r="AD8" s="45">
        <f>IF(26&lt;=DAY(EOMONTH(DATE($C$4,VLOOKUP($C$5,Pengaturan!$A$2:$B$13,2,FALSE),1),0)),26,"")</f>
        <v>26</v>
      </c>
      <c r="AE8" s="45">
        <f>IF(27&lt;=DAY(EOMONTH(DATE($C$4,VLOOKUP($C$5,Pengaturan!$A$2:$B$13,2,FALSE),1),0)),27,"")</f>
        <v>27</v>
      </c>
      <c r="AF8" s="45">
        <f>IF(28&lt;=DAY(EOMONTH(DATE($C$4,VLOOKUP($C$5,Pengaturan!$A$2:$B$13,2,FALSE),1),0)),28,"")</f>
        <v>28</v>
      </c>
      <c r="AG8" s="45">
        <f>IF(29&lt;=DAY(EOMONTH(DATE($C$4,VLOOKUP($C$5,Pengaturan!$A$2:$B$13,2,FALSE),1),0)),29,"")</f>
        <v>29</v>
      </c>
      <c r="AH8" s="45">
        <f>IF(30&lt;=DAY(EOMONTH(DATE($C$4,VLOOKUP($C$5,Pengaturan!$A$2:$B$13,2,FALSE),1),0)),30,"")</f>
        <v>30</v>
      </c>
      <c r="AI8" s="45">
        <f>IF(31&lt;=DAY(EOMONTH(DATE($C$4,VLOOKUP($C$5,Pengaturan!$A$2:$B$13,2,FALSE),1),0)),31,"")</f>
        <v>31</v>
      </c>
      <c r="AJ8" s="66"/>
      <c r="AK8" s="66"/>
      <c r="AL8" s="66"/>
      <c r="AM8" s="66"/>
      <c r="AN8" s="66"/>
      <c r="AO8" s="66"/>
    </row>
    <row r="9" spans="1:41" ht="21" customHeight="1" x14ac:dyDescent="0.25">
      <c r="A9" s="46">
        <f>IF('Data Karyawan'!A4&lt;&gt;"", 'Data Karyawan'!A4, "")</f>
        <v>1</v>
      </c>
      <c r="B9" s="46">
        <f>IF('Data Karyawan'!B4&lt;&gt;"", 'Data Karyawan'!B4, "")</f>
        <v>80094</v>
      </c>
      <c r="C9" s="47" t="str">
        <f>IF('Data Karyawan'!C4&lt;&gt;"", 'Data Karyawan'!C4, "")</f>
        <v>Siti Zulfatul</v>
      </c>
      <c r="D9" s="46" t="str">
        <f>IF('Data Karyawan'!D4&lt;&gt;"", 'Data Karyawan'!D4, "")</f>
        <v>A1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9">
        <f t="shared" ref="AJ9:AJ72" si="0">IF($C9="","",COUNTIF(E9:AI9, "H"))</f>
        <v>0</v>
      </c>
      <c r="AK9" s="49">
        <f t="shared" ref="AK9:AK72" si="1">IF($C9="","",COUNTIF(E9:AI9, "S"))</f>
        <v>0</v>
      </c>
      <c r="AL9" s="49">
        <f t="shared" ref="AL9:AL72" si="2">IF($C9="","",COUNTIF(E9:AI9, "I"))</f>
        <v>0</v>
      </c>
      <c r="AM9" s="49">
        <f t="shared" ref="AM9:AM72" si="3">IF($C9="","",COUNTIF(E9:AI9, "A"))</f>
        <v>0</v>
      </c>
      <c r="AN9" s="49">
        <f t="shared" ref="AN9:AN72" si="4">IF($C9="","",COUNTIF(E9:AI9, "C"))</f>
        <v>0</v>
      </c>
      <c r="AO9" s="53">
        <f t="shared" ref="AO9:AO72" si="5">IF(OR($B9="",(AJ9+AK9+AL9+AM9)=0),0,AJ9/(AJ9+AK9+AL9+AM9))</f>
        <v>0</v>
      </c>
    </row>
    <row r="10" spans="1:41" ht="21" customHeight="1" x14ac:dyDescent="0.25">
      <c r="A10" s="46">
        <f>IF('Data Karyawan'!A5&lt;&gt;"", 'Data Karyawan'!A5, "")</f>
        <v>2</v>
      </c>
      <c r="B10" s="46">
        <f>IF('Data Karyawan'!B5&lt;&gt;"", 'Data Karyawan'!B5, "")</f>
        <v>80095</v>
      </c>
      <c r="C10" s="47" t="str">
        <f>IF('Data Karyawan'!C5&lt;&gt;"", 'Data Karyawan'!C5, "")</f>
        <v>Eko Riski W</v>
      </c>
      <c r="D10" s="46" t="str">
        <f>IF('Data Karyawan'!D5&lt;&gt;"", 'Data Karyawan'!D5, "")</f>
        <v>A1</v>
      </c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9">
        <f t="shared" si="0"/>
        <v>0</v>
      </c>
      <c r="AK10" s="49">
        <f t="shared" si="1"/>
        <v>0</v>
      </c>
      <c r="AL10" s="49">
        <f t="shared" si="2"/>
        <v>0</v>
      </c>
      <c r="AM10" s="49">
        <f t="shared" si="3"/>
        <v>0</v>
      </c>
      <c r="AN10" s="49">
        <f t="shared" si="4"/>
        <v>0</v>
      </c>
      <c r="AO10" s="53">
        <f t="shared" si="5"/>
        <v>0</v>
      </c>
    </row>
    <row r="11" spans="1:41" ht="21" customHeight="1" x14ac:dyDescent="0.25">
      <c r="A11" s="46">
        <f>IF('Data Karyawan'!A6&lt;&gt;"", 'Data Karyawan'!A6, "")</f>
        <v>3</v>
      </c>
      <c r="B11" s="46">
        <f>IF('Data Karyawan'!B6&lt;&gt;"", 'Data Karyawan'!B6, "")</f>
        <v>80097</v>
      </c>
      <c r="C11" s="47" t="str">
        <f>IF('Data Karyawan'!C6&lt;&gt;"", 'Data Karyawan'!C6, "")</f>
        <v>Wiyan Asri</v>
      </c>
      <c r="D11" s="46" t="str">
        <f>IF('Data Karyawan'!D6&lt;&gt;"", 'Data Karyawan'!D6, "")</f>
        <v>A1</v>
      </c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9">
        <f t="shared" si="0"/>
        <v>0</v>
      </c>
      <c r="AK11" s="49">
        <f t="shared" si="1"/>
        <v>0</v>
      </c>
      <c r="AL11" s="49">
        <f t="shared" si="2"/>
        <v>0</v>
      </c>
      <c r="AM11" s="49">
        <f t="shared" si="3"/>
        <v>0</v>
      </c>
      <c r="AN11" s="49">
        <f t="shared" si="4"/>
        <v>0</v>
      </c>
      <c r="AO11" s="53">
        <f t="shared" si="5"/>
        <v>0</v>
      </c>
    </row>
    <row r="12" spans="1:41" ht="21" customHeight="1" x14ac:dyDescent="0.25">
      <c r="A12" s="46">
        <f>IF('Data Karyawan'!A7&lt;&gt;"", 'Data Karyawan'!A7, "")</f>
        <v>4</v>
      </c>
      <c r="B12" s="46">
        <f>IF('Data Karyawan'!B7&lt;&gt;"", 'Data Karyawan'!B7, "")</f>
        <v>80098</v>
      </c>
      <c r="C12" s="47" t="str">
        <f>IF('Data Karyawan'!C7&lt;&gt;"", 'Data Karyawan'!C7, "")</f>
        <v>Siti Rohmawati</v>
      </c>
      <c r="D12" s="46" t="str">
        <f>IF('Data Karyawan'!D7&lt;&gt;"", 'Data Karyawan'!D7, "")</f>
        <v>A1</v>
      </c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9">
        <f t="shared" si="0"/>
        <v>0</v>
      </c>
      <c r="AK12" s="49">
        <f t="shared" si="1"/>
        <v>0</v>
      </c>
      <c r="AL12" s="49">
        <f t="shared" si="2"/>
        <v>0</v>
      </c>
      <c r="AM12" s="49">
        <f t="shared" si="3"/>
        <v>0</v>
      </c>
      <c r="AN12" s="49">
        <f t="shared" si="4"/>
        <v>0</v>
      </c>
      <c r="AO12" s="53">
        <f t="shared" si="5"/>
        <v>0</v>
      </c>
    </row>
    <row r="13" spans="1:41" ht="21" customHeight="1" x14ac:dyDescent="0.25">
      <c r="A13" s="46">
        <f>IF('Data Karyawan'!A8&lt;&gt;"", 'Data Karyawan'!A8, "")</f>
        <v>5</v>
      </c>
      <c r="B13" s="46">
        <f>IF('Data Karyawan'!B8&lt;&gt;"", 'Data Karyawan'!B8, "")</f>
        <v>80099</v>
      </c>
      <c r="C13" s="47" t="str">
        <f>IF('Data Karyawan'!C8&lt;&gt;"", 'Data Karyawan'!C8, "")</f>
        <v>Syaifira Ila</v>
      </c>
      <c r="D13" s="46" t="str">
        <f>IF('Data Karyawan'!D8&lt;&gt;"", 'Data Karyawan'!D8, "")</f>
        <v>A1</v>
      </c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9">
        <f t="shared" si="0"/>
        <v>0</v>
      </c>
      <c r="AK13" s="49">
        <f t="shared" si="1"/>
        <v>0</v>
      </c>
      <c r="AL13" s="49">
        <f t="shared" si="2"/>
        <v>0</v>
      </c>
      <c r="AM13" s="49">
        <f t="shared" si="3"/>
        <v>0</v>
      </c>
      <c r="AN13" s="49">
        <f t="shared" si="4"/>
        <v>0</v>
      </c>
      <c r="AO13" s="53">
        <f t="shared" si="5"/>
        <v>0</v>
      </c>
    </row>
    <row r="14" spans="1:41" ht="21" customHeight="1" x14ac:dyDescent="0.25">
      <c r="A14" s="46">
        <f>IF('Data Karyawan'!A9&lt;&gt;"", 'Data Karyawan'!A9, "")</f>
        <v>6</v>
      </c>
      <c r="B14" s="46">
        <f>IF('Data Karyawan'!B9&lt;&gt;"", 'Data Karyawan'!B9, "")</f>
        <v>80100</v>
      </c>
      <c r="C14" s="47" t="str">
        <f>IF('Data Karyawan'!C9&lt;&gt;"", 'Data Karyawan'!C9, "")</f>
        <v>Hidayatus Sholikhah</v>
      </c>
      <c r="D14" s="46" t="str">
        <f>IF('Data Karyawan'!D9&lt;&gt;"", 'Data Karyawan'!D9, "")</f>
        <v>A1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9">
        <f t="shared" si="0"/>
        <v>0</v>
      </c>
      <c r="AK14" s="49">
        <f t="shared" si="1"/>
        <v>0</v>
      </c>
      <c r="AL14" s="49">
        <f t="shared" si="2"/>
        <v>0</v>
      </c>
      <c r="AM14" s="49">
        <f t="shared" si="3"/>
        <v>0</v>
      </c>
      <c r="AN14" s="49">
        <f t="shared" si="4"/>
        <v>0</v>
      </c>
      <c r="AO14" s="53">
        <f t="shared" si="5"/>
        <v>0</v>
      </c>
    </row>
    <row r="15" spans="1:41" ht="21" customHeight="1" x14ac:dyDescent="0.25">
      <c r="A15" s="46">
        <f>IF('Data Karyawan'!A10&lt;&gt;"", 'Data Karyawan'!A10, "")</f>
        <v>7</v>
      </c>
      <c r="B15" s="46">
        <f>IF('Data Karyawan'!B10&lt;&gt;"", 'Data Karyawan'!B10, "")</f>
        <v>80101</v>
      </c>
      <c r="C15" s="47" t="str">
        <f>IF('Data Karyawan'!C10&lt;&gt;"", 'Data Karyawan'!C10, "")</f>
        <v>Erika Nur Manda</v>
      </c>
      <c r="D15" s="46" t="str">
        <f>IF('Data Karyawan'!D10&lt;&gt;"", 'Data Karyawan'!D10, "")</f>
        <v>A1</v>
      </c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9">
        <f t="shared" si="0"/>
        <v>0</v>
      </c>
      <c r="AK15" s="49">
        <f t="shared" si="1"/>
        <v>0</v>
      </c>
      <c r="AL15" s="49">
        <f t="shared" si="2"/>
        <v>0</v>
      </c>
      <c r="AM15" s="49">
        <f t="shared" si="3"/>
        <v>0</v>
      </c>
      <c r="AN15" s="49">
        <f t="shared" si="4"/>
        <v>0</v>
      </c>
      <c r="AO15" s="53">
        <f t="shared" si="5"/>
        <v>0</v>
      </c>
    </row>
    <row r="16" spans="1:41" ht="21" customHeight="1" x14ac:dyDescent="0.25">
      <c r="A16" s="46">
        <f>IF('Data Karyawan'!A11&lt;&gt;"", 'Data Karyawan'!A11, "")</f>
        <v>8</v>
      </c>
      <c r="B16" s="46">
        <f>IF('Data Karyawan'!B11&lt;&gt;"", 'Data Karyawan'!B11, "")</f>
        <v>80102</v>
      </c>
      <c r="C16" s="47" t="str">
        <f>IF('Data Karyawan'!C11&lt;&gt;"", 'Data Karyawan'!C11, "")</f>
        <v>M. Alfarizd</v>
      </c>
      <c r="D16" s="46" t="str">
        <f>IF('Data Karyawan'!D11&lt;&gt;"", 'Data Karyawan'!D11, "")</f>
        <v>A1</v>
      </c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9">
        <f t="shared" si="0"/>
        <v>0</v>
      </c>
      <c r="AK16" s="49">
        <f t="shared" si="1"/>
        <v>0</v>
      </c>
      <c r="AL16" s="49">
        <f t="shared" si="2"/>
        <v>0</v>
      </c>
      <c r="AM16" s="49">
        <f t="shared" si="3"/>
        <v>0</v>
      </c>
      <c r="AN16" s="49">
        <f t="shared" si="4"/>
        <v>0</v>
      </c>
      <c r="AO16" s="53">
        <f t="shared" si="5"/>
        <v>0</v>
      </c>
    </row>
    <row r="17" spans="1:41" ht="21" customHeight="1" x14ac:dyDescent="0.25">
      <c r="A17" s="46">
        <f>IF('Data Karyawan'!A12&lt;&gt;"", 'Data Karyawan'!A12, "")</f>
        <v>9</v>
      </c>
      <c r="B17" s="46">
        <f>IF('Data Karyawan'!B12&lt;&gt;"", 'Data Karyawan'!B12, "")</f>
        <v>80103</v>
      </c>
      <c r="C17" s="47" t="str">
        <f>IF('Data Karyawan'!C12&lt;&gt;"", 'Data Karyawan'!C12, "")</f>
        <v>Nazar Putra A.</v>
      </c>
      <c r="D17" s="46" t="str">
        <f>IF('Data Karyawan'!D12&lt;&gt;"", 'Data Karyawan'!D12, "")</f>
        <v>A1</v>
      </c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9">
        <f t="shared" si="0"/>
        <v>0</v>
      </c>
      <c r="AK17" s="49">
        <f t="shared" si="1"/>
        <v>0</v>
      </c>
      <c r="AL17" s="49">
        <f t="shared" si="2"/>
        <v>0</v>
      </c>
      <c r="AM17" s="49">
        <f t="shared" si="3"/>
        <v>0</v>
      </c>
      <c r="AN17" s="49">
        <f t="shared" si="4"/>
        <v>0</v>
      </c>
      <c r="AO17" s="53">
        <f t="shared" si="5"/>
        <v>0</v>
      </c>
    </row>
    <row r="18" spans="1:41" ht="21" customHeight="1" x14ac:dyDescent="0.25">
      <c r="A18" s="46">
        <f>IF('Data Karyawan'!A13&lt;&gt;"", 'Data Karyawan'!A13, "")</f>
        <v>10</v>
      </c>
      <c r="B18" s="46">
        <f>IF('Data Karyawan'!B13&lt;&gt;"", 'Data Karyawan'!B13, "")</f>
        <v>80104</v>
      </c>
      <c r="C18" s="47" t="str">
        <f>IF('Data Karyawan'!C13&lt;&gt;"", 'Data Karyawan'!C13, "")</f>
        <v>Dewi Masfufah</v>
      </c>
      <c r="D18" s="46" t="str">
        <f>IF('Data Karyawan'!D13&lt;&gt;"", 'Data Karyawan'!D13, "")</f>
        <v>A1</v>
      </c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9">
        <f t="shared" si="0"/>
        <v>0</v>
      </c>
      <c r="AK18" s="49">
        <f t="shared" si="1"/>
        <v>0</v>
      </c>
      <c r="AL18" s="49">
        <f t="shared" si="2"/>
        <v>0</v>
      </c>
      <c r="AM18" s="49">
        <f t="shared" si="3"/>
        <v>0</v>
      </c>
      <c r="AN18" s="49">
        <f t="shared" si="4"/>
        <v>0</v>
      </c>
      <c r="AO18" s="53">
        <f t="shared" si="5"/>
        <v>0</v>
      </c>
    </row>
    <row r="19" spans="1:41" ht="21" customHeight="1" x14ac:dyDescent="0.25">
      <c r="A19" s="46">
        <f>IF('Data Karyawan'!A14&lt;&gt;"", 'Data Karyawan'!A14, "")</f>
        <v>11</v>
      </c>
      <c r="B19" s="46">
        <f>IF('Data Karyawan'!B14&lt;&gt;"", 'Data Karyawan'!B14, "")</f>
        <v>80105</v>
      </c>
      <c r="C19" s="47" t="str">
        <f>IF('Data Karyawan'!C14&lt;&gt;"", 'Data Karyawan'!C14, "")</f>
        <v>Erika Cahya</v>
      </c>
      <c r="D19" s="46" t="str">
        <f>IF('Data Karyawan'!D14&lt;&gt;"", 'Data Karyawan'!D14, "")</f>
        <v>A1</v>
      </c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9">
        <f t="shared" si="0"/>
        <v>0</v>
      </c>
      <c r="AK19" s="49">
        <f t="shared" si="1"/>
        <v>0</v>
      </c>
      <c r="AL19" s="49">
        <f t="shared" si="2"/>
        <v>0</v>
      </c>
      <c r="AM19" s="49">
        <f t="shared" si="3"/>
        <v>0</v>
      </c>
      <c r="AN19" s="49">
        <f t="shared" si="4"/>
        <v>0</v>
      </c>
      <c r="AO19" s="53">
        <f t="shared" si="5"/>
        <v>0</v>
      </c>
    </row>
    <row r="20" spans="1:41" ht="21" customHeight="1" x14ac:dyDescent="0.25">
      <c r="A20" s="46">
        <f>IF('Data Karyawan'!A15&lt;&gt;"", 'Data Karyawan'!A15, "")</f>
        <v>12</v>
      </c>
      <c r="B20" s="46">
        <f>IF('Data Karyawan'!B15&lt;&gt;"", 'Data Karyawan'!B15, "")</f>
        <v>80106</v>
      </c>
      <c r="C20" s="47" t="str">
        <f>IF('Data Karyawan'!C15&lt;&gt;"", 'Data Karyawan'!C15, "")</f>
        <v>Heri Setyawan</v>
      </c>
      <c r="D20" s="46" t="str">
        <f>IF('Data Karyawan'!D15&lt;&gt;"", 'Data Karyawan'!D15, "")</f>
        <v>A1</v>
      </c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9">
        <f t="shared" si="0"/>
        <v>0</v>
      </c>
      <c r="AK20" s="49">
        <f t="shared" si="1"/>
        <v>0</v>
      </c>
      <c r="AL20" s="49">
        <f t="shared" si="2"/>
        <v>0</v>
      </c>
      <c r="AM20" s="49">
        <f t="shared" si="3"/>
        <v>0</v>
      </c>
      <c r="AN20" s="49">
        <f t="shared" si="4"/>
        <v>0</v>
      </c>
      <c r="AO20" s="53">
        <f t="shared" si="5"/>
        <v>0</v>
      </c>
    </row>
    <row r="21" spans="1:41" ht="21" customHeight="1" x14ac:dyDescent="0.25">
      <c r="A21" s="46">
        <f>IF('Data Karyawan'!A16&lt;&gt;"", 'Data Karyawan'!A16, "")</f>
        <v>13</v>
      </c>
      <c r="B21" s="46">
        <f>IF('Data Karyawan'!B16&lt;&gt;"", 'Data Karyawan'!B16, "")</f>
        <v>80107</v>
      </c>
      <c r="C21" s="47" t="str">
        <f>IF('Data Karyawan'!C16&lt;&gt;"", 'Data Karyawan'!C16, "")</f>
        <v>Aisyatul Khasanah</v>
      </c>
      <c r="D21" s="46" t="str">
        <f>IF('Data Karyawan'!D16&lt;&gt;"", 'Data Karyawan'!D16, "")</f>
        <v>A1</v>
      </c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9">
        <f t="shared" si="0"/>
        <v>0</v>
      </c>
      <c r="AK21" s="49">
        <f t="shared" si="1"/>
        <v>0</v>
      </c>
      <c r="AL21" s="49">
        <f t="shared" si="2"/>
        <v>0</v>
      </c>
      <c r="AM21" s="49">
        <f t="shared" si="3"/>
        <v>0</v>
      </c>
      <c r="AN21" s="49">
        <f t="shared" si="4"/>
        <v>0</v>
      </c>
      <c r="AO21" s="53">
        <f t="shared" si="5"/>
        <v>0</v>
      </c>
    </row>
    <row r="22" spans="1:41" ht="21" customHeight="1" x14ac:dyDescent="0.25">
      <c r="A22" s="46">
        <f>IF('Data Karyawan'!A17&lt;&gt;"", 'Data Karyawan'!A17, "")</f>
        <v>14</v>
      </c>
      <c r="B22" s="46">
        <f>IF('Data Karyawan'!B17&lt;&gt;"", 'Data Karyawan'!B17, "")</f>
        <v>80108</v>
      </c>
      <c r="C22" s="47" t="str">
        <f>IF('Data Karyawan'!C17&lt;&gt;"", 'Data Karyawan'!C17, "")</f>
        <v>Lola Afridatu Dina</v>
      </c>
      <c r="D22" s="46" t="str">
        <f>IF('Data Karyawan'!D17&lt;&gt;"", 'Data Karyawan'!D17, "")</f>
        <v>A1</v>
      </c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9">
        <f t="shared" si="0"/>
        <v>0</v>
      </c>
      <c r="AK22" s="49">
        <f t="shared" si="1"/>
        <v>0</v>
      </c>
      <c r="AL22" s="49">
        <f t="shared" si="2"/>
        <v>0</v>
      </c>
      <c r="AM22" s="49">
        <f t="shared" si="3"/>
        <v>0</v>
      </c>
      <c r="AN22" s="49">
        <f t="shared" si="4"/>
        <v>0</v>
      </c>
      <c r="AO22" s="53">
        <f t="shared" si="5"/>
        <v>0</v>
      </c>
    </row>
    <row r="23" spans="1:41" ht="21" customHeight="1" x14ac:dyDescent="0.25">
      <c r="A23" s="46">
        <f>IF('Data Karyawan'!A18&lt;&gt;"", 'Data Karyawan'!A18, "")</f>
        <v>15</v>
      </c>
      <c r="B23" s="46">
        <f>IF('Data Karyawan'!B18&lt;&gt;"", 'Data Karyawan'!B18, "")</f>
        <v>80123</v>
      </c>
      <c r="C23" s="47" t="str">
        <f>IF('Data Karyawan'!C18&lt;&gt;"", 'Data Karyawan'!C18, "")</f>
        <v>Yanti Oktavia</v>
      </c>
      <c r="D23" s="46" t="str">
        <f>IF('Data Karyawan'!D18&lt;&gt;"", 'Data Karyawan'!D18, "")</f>
        <v>A1</v>
      </c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9">
        <f t="shared" si="0"/>
        <v>0</v>
      </c>
      <c r="AK23" s="49">
        <f t="shared" si="1"/>
        <v>0</v>
      </c>
      <c r="AL23" s="49">
        <f t="shared" si="2"/>
        <v>0</v>
      </c>
      <c r="AM23" s="49">
        <f t="shared" si="3"/>
        <v>0</v>
      </c>
      <c r="AN23" s="49">
        <f t="shared" si="4"/>
        <v>0</v>
      </c>
      <c r="AO23" s="53">
        <f t="shared" si="5"/>
        <v>0</v>
      </c>
    </row>
    <row r="24" spans="1:41" ht="21" customHeight="1" x14ac:dyDescent="0.25">
      <c r="A24" s="46">
        <f>IF('Data Karyawan'!A19&lt;&gt;"", 'Data Karyawan'!A19, "")</f>
        <v>16</v>
      </c>
      <c r="B24" s="46">
        <f>IF('Data Karyawan'!B19&lt;&gt;"", 'Data Karyawan'!B19, "")</f>
        <v>80124</v>
      </c>
      <c r="C24" s="47" t="str">
        <f>IF('Data Karyawan'!C19&lt;&gt;"", 'Data Karyawan'!C19, "")</f>
        <v>Desi Handayani</v>
      </c>
      <c r="D24" s="46" t="str">
        <f>IF('Data Karyawan'!D19&lt;&gt;"", 'Data Karyawan'!D19, "")</f>
        <v>A1</v>
      </c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9">
        <f t="shared" si="0"/>
        <v>0</v>
      </c>
      <c r="AK24" s="49">
        <f t="shared" si="1"/>
        <v>0</v>
      </c>
      <c r="AL24" s="49">
        <f t="shared" si="2"/>
        <v>0</v>
      </c>
      <c r="AM24" s="49">
        <f t="shared" si="3"/>
        <v>0</v>
      </c>
      <c r="AN24" s="49">
        <f t="shared" si="4"/>
        <v>0</v>
      </c>
      <c r="AO24" s="53">
        <f t="shared" si="5"/>
        <v>0</v>
      </c>
    </row>
    <row r="25" spans="1:41" ht="21" customHeight="1" x14ac:dyDescent="0.25">
      <c r="A25" s="46">
        <f>IF('Data Karyawan'!A20&lt;&gt;"", 'Data Karyawan'!A20, "")</f>
        <v>17</v>
      </c>
      <c r="B25" s="46">
        <f>IF('Data Karyawan'!B20&lt;&gt;"", 'Data Karyawan'!B20, "")</f>
        <v>80125</v>
      </c>
      <c r="C25" s="47" t="str">
        <f>IF('Data Karyawan'!C20&lt;&gt;"", 'Data Karyawan'!C20, "")</f>
        <v>Feni Eka A</v>
      </c>
      <c r="D25" s="46" t="str">
        <f>IF('Data Karyawan'!D20&lt;&gt;"", 'Data Karyawan'!D20, "")</f>
        <v>A1</v>
      </c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9">
        <f t="shared" si="0"/>
        <v>0</v>
      </c>
      <c r="AK25" s="49">
        <f t="shared" si="1"/>
        <v>0</v>
      </c>
      <c r="AL25" s="49">
        <f t="shared" si="2"/>
        <v>0</v>
      </c>
      <c r="AM25" s="49">
        <f t="shared" si="3"/>
        <v>0</v>
      </c>
      <c r="AN25" s="49">
        <f t="shared" si="4"/>
        <v>0</v>
      </c>
      <c r="AO25" s="53">
        <f t="shared" si="5"/>
        <v>0</v>
      </c>
    </row>
    <row r="26" spans="1:41" ht="21" customHeight="1" x14ac:dyDescent="0.25">
      <c r="A26" s="46">
        <f>IF('Data Karyawan'!A21&lt;&gt;"", 'Data Karyawan'!A21, "")</f>
        <v>18</v>
      </c>
      <c r="B26" s="46">
        <f>IF('Data Karyawan'!B21&lt;&gt;"", 'Data Karyawan'!B21, "")</f>
        <v>80126</v>
      </c>
      <c r="C26" s="47" t="str">
        <f>IF('Data Karyawan'!C21&lt;&gt;"", 'Data Karyawan'!C21, "")</f>
        <v>Sabita Alya</v>
      </c>
      <c r="D26" s="46" t="str">
        <f>IF('Data Karyawan'!D21&lt;&gt;"", 'Data Karyawan'!D21, "")</f>
        <v>A1</v>
      </c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9">
        <f t="shared" si="0"/>
        <v>0</v>
      </c>
      <c r="AK26" s="49">
        <f t="shared" si="1"/>
        <v>0</v>
      </c>
      <c r="AL26" s="49">
        <f t="shared" si="2"/>
        <v>0</v>
      </c>
      <c r="AM26" s="49">
        <f t="shared" si="3"/>
        <v>0</v>
      </c>
      <c r="AN26" s="49">
        <f t="shared" si="4"/>
        <v>0</v>
      </c>
      <c r="AO26" s="53">
        <f t="shared" si="5"/>
        <v>0</v>
      </c>
    </row>
    <row r="27" spans="1:41" ht="21" customHeight="1" x14ac:dyDescent="0.25">
      <c r="A27" s="46">
        <f>IF('Data Karyawan'!A22&lt;&gt;"", 'Data Karyawan'!A22, "")</f>
        <v>19</v>
      </c>
      <c r="B27" s="46">
        <f>IF('Data Karyawan'!B22&lt;&gt;"", 'Data Karyawan'!B22, "")</f>
        <v>80127</v>
      </c>
      <c r="C27" s="47" t="str">
        <f>IF('Data Karyawan'!C22&lt;&gt;"", 'Data Karyawan'!C22, "")</f>
        <v>Nur Aini</v>
      </c>
      <c r="D27" s="46" t="str">
        <f>IF('Data Karyawan'!D22&lt;&gt;"", 'Data Karyawan'!D22, "")</f>
        <v>A1</v>
      </c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9">
        <f t="shared" si="0"/>
        <v>0</v>
      </c>
      <c r="AK27" s="49">
        <f t="shared" si="1"/>
        <v>0</v>
      </c>
      <c r="AL27" s="49">
        <f t="shared" si="2"/>
        <v>0</v>
      </c>
      <c r="AM27" s="49">
        <f t="shared" si="3"/>
        <v>0</v>
      </c>
      <c r="AN27" s="49">
        <f t="shared" si="4"/>
        <v>0</v>
      </c>
      <c r="AO27" s="53">
        <f t="shared" si="5"/>
        <v>0</v>
      </c>
    </row>
    <row r="28" spans="1:41" ht="21" customHeight="1" x14ac:dyDescent="0.25">
      <c r="A28" s="46">
        <f>IF('Data Karyawan'!A23&lt;&gt;"", 'Data Karyawan'!A23, "")</f>
        <v>20</v>
      </c>
      <c r="B28" s="46">
        <f>IF('Data Karyawan'!B23&lt;&gt;"", 'Data Karyawan'!B23, "")</f>
        <v>80128</v>
      </c>
      <c r="C28" s="47" t="str">
        <f>IF('Data Karyawan'!C23&lt;&gt;"", 'Data Karyawan'!C23, "")</f>
        <v>Vanida Herawati</v>
      </c>
      <c r="D28" s="46" t="str">
        <f>IF('Data Karyawan'!D23&lt;&gt;"", 'Data Karyawan'!D23, "")</f>
        <v>A1</v>
      </c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9">
        <f t="shared" si="0"/>
        <v>0</v>
      </c>
      <c r="AK28" s="49">
        <f t="shared" si="1"/>
        <v>0</v>
      </c>
      <c r="AL28" s="49">
        <f t="shared" si="2"/>
        <v>0</v>
      </c>
      <c r="AM28" s="49">
        <f t="shared" si="3"/>
        <v>0</v>
      </c>
      <c r="AN28" s="49">
        <f t="shared" si="4"/>
        <v>0</v>
      </c>
      <c r="AO28" s="53">
        <f t="shared" si="5"/>
        <v>0</v>
      </c>
    </row>
    <row r="29" spans="1:41" ht="21" customHeight="1" x14ac:dyDescent="0.25">
      <c r="A29" s="46">
        <f>IF('Data Karyawan'!A24&lt;&gt;"", 'Data Karyawan'!A24, "")</f>
        <v>21</v>
      </c>
      <c r="B29" s="46">
        <f>IF('Data Karyawan'!B24&lt;&gt;"", 'Data Karyawan'!B24, "")</f>
        <v>80129</v>
      </c>
      <c r="C29" s="47" t="str">
        <f>IF('Data Karyawan'!C24&lt;&gt;"", 'Data Karyawan'!C24, "")</f>
        <v>Faiq Ardha Sava</v>
      </c>
      <c r="D29" s="46" t="str">
        <f>IF('Data Karyawan'!D24&lt;&gt;"", 'Data Karyawan'!D24, "")</f>
        <v>A1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9">
        <f t="shared" si="0"/>
        <v>0</v>
      </c>
      <c r="AK29" s="49">
        <f t="shared" si="1"/>
        <v>0</v>
      </c>
      <c r="AL29" s="49">
        <f t="shared" si="2"/>
        <v>0</v>
      </c>
      <c r="AM29" s="49">
        <f t="shared" si="3"/>
        <v>0</v>
      </c>
      <c r="AN29" s="49">
        <f t="shared" si="4"/>
        <v>0</v>
      </c>
      <c r="AO29" s="53">
        <f t="shared" si="5"/>
        <v>0</v>
      </c>
    </row>
    <row r="30" spans="1:41" ht="21" customHeight="1" x14ac:dyDescent="0.25">
      <c r="A30" s="46">
        <f>IF('Data Karyawan'!A25&lt;&gt;"", 'Data Karyawan'!A25, "")</f>
        <v>22</v>
      </c>
      <c r="B30" s="46">
        <f>IF('Data Karyawan'!B25&lt;&gt;"", 'Data Karyawan'!B25, "")</f>
        <v>80130</v>
      </c>
      <c r="C30" s="47" t="str">
        <f>IF('Data Karyawan'!C25&lt;&gt;"", 'Data Karyawan'!C25, "")</f>
        <v>Fania Dwi W</v>
      </c>
      <c r="D30" s="46" t="str">
        <f>IF('Data Karyawan'!D25&lt;&gt;"", 'Data Karyawan'!D25, "")</f>
        <v>A1</v>
      </c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9">
        <f t="shared" si="0"/>
        <v>0</v>
      </c>
      <c r="AK30" s="49">
        <f t="shared" si="1"/>
        <v>0</v>
      </c>
      <c r="AL30" s="49">
        <f t="shared" si="2"/>
        <v>0</v>
      </c>
      <c r="AM30" s="49">
        <f t="shared" si="3"/>
        <v>0</v>
      </c>
      <c r="AN30" s="49">
        <f t="shared" si="4"/>
        <v>0</v>
      </c>
      <c r="AO30" s="53">
        <f t="shared" si="5"/>
        <v>0</v>
      </c>
    </row>
    <row r="31" spans="1:41" ht="21" customHeight="1" x14ac:dyDescent="0.25">
      <c r="A31" s="46">
        <f>IF('Data Karyawan'!A26&lt;&gt;"", 'Data Karyawan'!A26, "")</f>
        <v>23</v>
      </c>
      <c r="B31" s="46">
        <f>IF('Data Karyawan'!B26&lt;&gt;"", 'Data Karyawan'!B26, "")</f>
        <v>80131</v>
      </c>
      <c r="C31" s="47" t="str">
        <f>IF('Data Karyawan'!C26&lt;&gt;"", 'Data Karyawan'!C26, "")</f>
        <v>Lintang M</v>
      </c>
      <c r="D31" s="46" t="str">
        <f>IF('Data Karyawan'!D26&lt;&gt;"", 'Data Karyawan'!D26, "")</f>
        <v>A1</v>
      </c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9">
        <f t="shared" si="0"/>
        <v>0</v>
      </c>
      <c r="AK31" s="49">
        <f t="shared" si="1"/>
        <v>0</v>
      </c>
      <c r="AL31" s="49">
        <f t="shared" si="2"/>
        <v>0</v>
      </c>
      <c r="AM31" s="49">
        <f t="shared" si="3"/>
        <v>0</v>
      </c>
      <c r="AN31" s="49">
        <f t="shared" si="4"/>
        <v>0</v>
      </c>
      <c r="AO31" s="53">
        <f t="shared" si="5"/>
        <v>0</v>
      </c>
    </row>
    <row r="32" spans="1:41" ht="21" customHeight="1" x14ac:dyDescent="0.25">
      <c r="A32" s="46">
        <f>IF('Data Karyawan'!A27&lt;&gt;"", 'Data Karyawan'!A27, "")</f>
        <v>24</v>
      </c>
      <c r="B32" s="46">
        <f>IF('Data Karyawan'!B27&lt;&gt;"", 'Data Karyawan'!B27, "")</f>
        <v>80132</v>
      </c>
      <c r="C32" s="47" t="str">
        <f>IF('Data Karyawan'!C27&lt;&gt;"", 'Data Karyawan'!C27, "")</f>
        <v>Nandita Aurelia</v>
      </c>
      <c r="D32" s="46" t="str">
        <f>IF('Data Karyawan'!D27&lt;&gt;"", 'Data Karyawan'!D27, "")</f>
        <v>A1</v>
      </c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9">
        <f t="shared" si="0"/>
        <v>0</v>
      </c>
      <c r="AK32" s="49">
        <f t="shared" si="1"/>
        <v>0</v>
      </c>
      <c r="AL32" s="49">
        <f t="shared" si="2"/>
        <v>0</v>
      </c>
      <c r="AM32" s="49">
        <f t="shared" si="3"/>
        <v>0</v>
      </c>
      <c r="AN32" s="49">
        <f t="shared" si="4"/>
        <v>0</v>
      </c>
      <c r="AO32" s="53">
        <f t="shared" si="5"/>
        <v>0</v>
      </c>
    </row>
    <row r="33" spans="1:41" ht="21" customHeight="1" x14ac:dyDescent="0.25">
      <c r="A33" s="46">
        <f>IF('Data Karyawan'!A28&lt;&gt;"", 'Data Karyawan'!A28, "")</f>
        <v>25</v>
      </c>
      <c r="B33" s="46">
        <f>IF('Data Karyawan'!B28&lt;&gt;"", 'Data Karyawan'!B28, "")</f>
        <v>80133</v>
      </c>
      <c r="C33" s="47" t="str">
        <f>IF('Data Karyawan'!C28&lt;&gt;"", 'Data Karyawan'!C28, "")</f>
        <v>Purwati</v>
      </c>
      <c r="D33" s="46" t="str">
        <f>IF('Data Karyawan'!D28&lt;&gt;"", 'Data Karyawan'!D28, "")</f>
        <v>A1</v>
      </c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9">
        <f t="shared" si="0"/>
        <v>0</v>
      </c>
      <c r="AK33" s="49">
        <f t="shared" si="1"/>
        <v>0</v>
      </c>
      <c r="AL33" s="49">
        <f t="shared" si="2"/>
        <v>0</v>
      </c>
      <c r="AM33" s="49">
        <f t="shared" si="3"/>
        <v>0</v>
      </c>
      <c r="AN33" s="49">
        <f t="shared" si="4"/>
        <v>0</v>
      </c>
      <c r="AO33" s="53">
        <f t="shared" si="5"/>
        <v>0</v>
      </c>
    </row>
    <row r="34" spans="1:41" ht="21" customHeight="1" x14ac:dyDescent="0.25">
      <c r="A34" s="46">
        <f>IF('Data Karyawan'!A29&lt;&gt;"", 'Data Karyawan'!A29, "")</f>
        <v>26</v>
      </c>
      <c r="B34" s="46">
        <f>IF('Data Karyawan'!B29&lt;&gt;"", 'Data Karyawan'!B29, "")</f>
        <v>80134</v>
      </c>
      <c r="C34" s="47" t="str">
        <f>IF('Data Karyawan'!C29&lt;&gt;"", 'Data Karyawan'!C29, "")</f>
        <v>Sylvana Damayanti</v>
      </c>
      <c r="D34" s="46" t="str">
        <f>IF('Data Karyawan'!D29&lt;&gt;"", 'Data Karyawan'!D29, "")</f>
        <v>A1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9">
        <f t="shared" si="0"/>
        <v>0</v>
      </c>
      <c r="AK34" s="49">
        <f t="shared" si="1"/>
        <v>0</v>
      </c>
      <c r="AL34" s="49">
        <f t="shared" si="2"/>
        <v>0</v>
      </c>
      <c r="AM34" s="49">
        <f t="shared" si="3"/>
        <v>0</v>
      </c>
      <c r="AN34" s="49">
        <f t="shared" si="4"/>
        <v>0</v>
      </c>
      <c r="AO34" s="53">
        <f t="shared" si="5"/>
        <v>0</v>
      </c>
    </row>
    <row r="35" spans="1:41" ht="21" customHeight="1" x14ac:dyDescent="0.25">
      <c r="A35" s="46">
        <f>IF('Data Karyawan'!A30&lt;&gt;"", 'Data Karyawan'!A30, "")</f>
        <v>27</v>
      </c>
      <c r="B35" s="46">
        <f>IF('Data Karyawan'!B30&lt;&gt;"", 'Data Karyawan'!B30, "")</f>
        <v>80135</v>
      </c>
      <c r="C35" s="47" t="str">
        <f>IF('Data Karyawan'!C30&lt;&gt;"", 'Data Karyawan'!C30, "")</f>
        <v>Sarah Wulandari</v>
      </c>
      <c r="D35" s="46" t="str">
        <f>IF('Data Karyawan'!D30&lt;&gt;"", 'Data Karyawan'!D30, "")</f>
        <v>A1</v>
      </c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9">
        <f t="shared" si="0"/>
        <v>0</v>
      </c>
      <c r="AK35" s="49">
        <f t="shared" si="1"/>
        <v>0</v>
      </c>
      <c r="AL35" s="49">
        <f t="shared" si="2"/>
        <v>0</v>
      </c>
      <c r="AM35" s="49">
        <f t="shared" si="3"/>
        <v>0</v>
      </c>
      <c r="AN35" s="49">
        <f t="shared" si="4"/>
        <v>0</v>
      </c>
      <c r="AO35" s="53">
        <f t="shared" si="5"/>
        <v>0</v>
      </c>
    </row>
    <row r="36" spans="1:41" ht="21" customHeight="1" x14ac:dyDescent="0.25">
      <c r="A36" s="46">
        <f>IF('Data Karyawan'!A31&lt;&gt;"", 'Data Karyawan'!A31, "")</f>
        <v>28</v>
      </c>
      <c r="B36" s="46">
        <f>IF('Data Karyawan'!B31&lt;&gt;"", 'Data Karyawan'!B31, "")</f>
        <v>80136</v>
      </c>
      <c r="C36" s="47" t="str">
        <f>IF('Data Karyawan'!C31&lt;&gt;"", 'Data Karyawan'!C31, "")</f>
        <v>Uma Parwati</v>
      </c>
      <c r="D36" s="46" t="str">
        <f>IF('Data Karyawan'!D31&lt;&gt;"", 'Data Karyawan'!D31, "")</f>
        <v>A1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9">
        <f t="shared" si="0"/>
        <v>0</v>
      </c>
      <c r="AK36" s="49">
        <f t="shared" si="1"/>
        <v>0</v>
      </c>
      <c r="AL36" s="49">
        <f t="shared" si="2"/>
        <v>0</v>
      </c>
      <c r="AM36" s="49">
        <f t="shared" si="3"/>
        <v>0</v>
      </c>
      <c r="AN36" s="49">
        <f t="shared" si="4"/>
        <v>0</v>
      </c>
      <c r="AO36" s="53">
        <f t="shared" si="5"/>
        <v>0</v>
      </c>
    </row>
    <row r="37" spans="1:41" ht="21" customHeight="1" x14ac:dyDescent="0.25">
      <c r="A37" s="46">
        <f>IF('Data Karyawan'!A32&lt;&gt;"", 'Data Karyawan'!A32, "")</f>
        <v>29</v>
      </c>
      <c r="B37" s="46">
        <f>IF('Data Karyawan'!B32&lt;&gt;"", 'Data Karyawan'!B32, "")</f>
        <v>80137</v>
      </c>
      <c r="C37" s="47" t="str">
        <f>IF('Data Karyawan'!C32&lt;&gt;"", 'Data Karyawan'!C32, "")</f>
        <v>Aulia april liana</v>
      </c>
      <c r="D37" s="46" t="str">
        <f>IF('Data Karyawan'!D32&lt;&gt;"", 'Data Karyawan'!D32, "")</f>
        <v>A1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9">
        <f t="shared" si="0"/>
        <v>0</v>
      </c>
      <c r="AK37" s="49">
        <f t="shared" si="1"/>
        <v>0</v>
      </c>
      <c r="AL37" s="49">
        <f t="shared" si="2"/>
        <v>0</v>
      </c>
      <c r="AM37" s="49">
        <f t="shared" si="3"/>
        <v>0</v>
      </c>
      <c r="AN37" s="49">
        <f t="shared" si="4"/>
        <v>0</v>
      </c>
      <c r="AO37" s="53">
        <f t="shared" si="5"/>
        <v>0</v>
      </c>
    </row>
    <row r="38" spans="1:41" ht="21" customHeight="1" x14ac:dyDescent="0.25">
      <c r="A38" s="46">
        <f>IF('Data Karyawan'!A33&lt;&gt;"", 'Data Karyawan'!A33, "")</f>
        <v>30</v>
      </c>
      <c r="B38" s="46">
        <f>IF('Data Karyawan'!B33&lt;&gt;"", 'Data Karyawan'!B33, "")</f>
        <v>80138</v>
      </c>
      <c r="C38" s="47" t="str">
        <f>IF('Data Karyawan'!C33&lt;&gt;"", 'Data Karyawan'!C33, "")</f>
        <v>Ardina vivi Amelia</v>
      </c>
      <c r="D38" s="46" t="str">
        <f>IF('Data Karyawan'!D33&lt;&gt;"", 'Data Karyawan'!D33, "")</f>
        <v>A1</v>
      </c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9">
        <f t="shared" si="0"/>
        <v>0</v>
      </c>
      <c r="AK38" s="49">
        <f t="shared" si="1"/>
        <v>0</v>
      </c>
      <c r="AL38" s="49">
        <f t="shared" si="2"/>
        <v>0</v>
      </c>
      <c r="AM38" s="49">
        <f t="shared" si="3"/>
        <v>0</v>
      </c>
      <c r="AN38" s="49">
        <f t="shared" si="4"/>
        <v>0</v>
      </c>
      <c r="AO38" s="53">
        <f t="shared" si="5"/>
        <v>0</v>
      </c>
    </row>
    <row r="39" spans="1:41" ht="21" customHeight="1" x14ac:dyDescent="0.25">
      <c r="A39" s="46">
        <f>IF('Data Karyawan'!A34&lt;&gt;"", 'Data Karyawan'!A34, "")</f>
        <v>31</v>
      </c>
      <c r="B39" s="46">
        <f>IF('Data Karyawan'!B34&lt;&gt;"", 'Data Karyawan'!B34, "")</f>
        <v>80139</v>
      </c>
      <c r="C39" s="47" t="str">
        <f>IF('Data Karyawan'!C34&lt;&gt;"", 'Data Karyawan'!C34, "")</f>
        <v>Oktavia Nur R</v>
      </c>
      <c r="D39" s="46" t="str">
        <f>IF('Data Karyawan'!D34&lt;&gt;"", 'Data Karyawan'!D34, "")</f>
        <v>A1</v>
      </c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9">
        <f t="shared" si="0"/>
        <v>0</v>
      </c>
      <c r="AK39" s="49">
        <f t="shared" si="1"/>
        <v>0</v>
      </c>
      <c r="AL39" s="49">
        <f t="shared" si="2"/>
        <v>0</v>
      </c>
      <c r="AM39" s="49">
        <f t="shared" si="3"/>
        <v>0</v>
      </c>
      <c r="AN39" s="49">
        <f t="shared" si="4"/>
        <v>0</v>
      </c>
      <c r="AO39" s="53">
        <f t="shared" si="5"/>
        <v>0</v>
      </c>
    </row>
    <row r="40" spans="1:41" ht="21" customHeight="1" x14ac:dyDescent="0.25">
      <c r="A40" s="46">
        <f>IF('Data Karyawan'!A35&lt;&gt;"", 'Data Karyawan'!A35, "")</f>
        <v>32</v>
      </c>
      <c r="B40" s="46">
        <f>IF('Data Karyawan'!B35&lt;&gt;"", 'Data Karyawan'!B35, "")</f>
        <v>80140</v>
      </c>
      <c r="C40" s="47" t="str">
        <f>IF('Data Karyawan'!C35&lt;&gt;"", 'Data Karyawan'!C35, "")</f>
        <v>Putrinika</v>
      </c>
      <c r="D40" s="46" t="str">
        <f>IF('Data Karyawan'!D35&lt;&gt;"", 'Data Karyawan'!D35, "")</f>
        <v>A1</v>
      </c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9">
        <f t="shared" si="0"/>
        <v>0</v>
      </c>
      <c r="AK40" s="49">
        <f t="shared" si="1"/>
        <v>0</v>
      </c>
      <c r="AL40" s="49">
        <f t="shared" si="2"/>
        <v>0</v>
      </c>
      <c r="AM40" s="49">
        <f t="shared" si="3"/>
        <v>0</v>
      </c>
      <c r="AN40" s="49">
        <f t="shared" si="4"/>
        <v>0</v>
      </c>
      <c r="AO40" s="53">
        <f t="shared" si="5"/>
        <v>0</v>
      </c>
    </row>
    <row r="41" spans="1:41" ht="21" customHeight="1" x14ac:dyDescent="0.25">
      <c r="A41" s="46">
        <f>IF('Data Karyawan'!A36&lt;&gt;"", 'Data Karyawan'!A36, "")</f>
        <v>33</v>
      </c>
      <c r="B41" s="46">
        <f>IF('Data Karyawan'!B36&lt;&gt;"", 'Data Karyawan'!B36, "")</f>
        <v>80141</v>
      </c>
      <c r="C41" s="47" t="str">
        <f>IF('Data Karyawan'!C36&lt;&gt;"", 'Data Karyawan'!C36, "")</f>
        <v>Aurelia Shinta P</v>
      </c>
      <c r="D41" s="46" t="str">
        <f>IF('Data Karyawan'!D36&lt;&gt;"", 'Data Karyawan'!D36, "")</f>
        <v>A1</v>
      </c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9">
        <f t="shared" si="0"/>
        <v>0</v>
      </c>
      <c r="AK41" s="49">
        <f t="shared" si="1"/>
        <v>0</v>
      </c>
      <c r="AL41" s="49">
        <f t="shared" si="2"/>
        <v>0</v>
      </c>
      <c r="AM41" s="49">
        <f t="shared" si="3"/>
        <v>0</v>
      </c>
      <c r="AN41" s="49">
        <f t="shared" si="4"/>
        <v>0</v>
      </c>
      <c r="AO41" s="53">
        <f t="shared" si="5"/>
        <v>0</v>
      </c>
    </row>
    <row r="42" spans="1:41" ht="21" customHeight="1" x14ac:dyDescent="0.25">
      <c r="A42" s="46">
        <f>IF('Data Karyawan'!A37&lt;&gt;"", 'Data Karyawan'!A37, "")</f>
        <v>34</v>
      </c>
      <c r="B42" s="46">
        <f>IF('Data Karyawan'!B37&lt;&gt;"", 'Data Karyawan'!B37, "")</f>
        <v>80142</v>
      </c>
      <c r="C42" s="47" t="str">
        <f>IF('Data Karyawan'!C37&lt;&gt;"", 'Data Karyawan'!C37, "")</f>
        <v>Mafdukha Khoiriyah S</v>
      </c>
      <c r="D42" s="46" t="str">
        <f>IF('Data Karyawan'!D37&lt;&gt;"", 'Data Karyawan'!D37, "")</f>
        <v>A1</v>
      </c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9">
        <f t="shared" si="0"/>
        <v>0</v>
      </c>
      <c r="AK42" s="49">
        <f t="shared" si="1"/>
        <v>0</v>
      </c>
      <c r="AL42" s="49">
        <f t="shared" si="2"/>
        <v>0</v>
      </c>
      <c r="AM42" s="49">
        <f t="shared" si="3"/>
        <v>0</v>
      </c>
      <c r="AN42" s="49">
        <f t="shared" si="4"/>
        <v>0</v>
      </c>
      <c r="AO42" s="53">
        <f t="shared" si="5"/>
        <v>0</v>
      </c>
    </row>
    <row r="43" spans="1:41" ht="21" customHeight="1" x14ac:dyDescent="0.25">
      <c r="A43" s="46">
        <f>IF('Data Karyawan'!A38&lt;&gt;"", 'Data Karyawan'!A38, "")</f>
        <v>35</v>
      </c>
      <c r="B43" s="46">
        <f>IF('Data Karyawan'!B38&lt;&gt;"", 'Data Karyawan'!B38, "")</f>
        <v>80143</v>
      </c>
      <c r="C43" s="47" t="str">
        <f>IF('Data Karyawan'!C38&lt;&gt;"", 'Data Karyawan'!C38, "")</f>
        <v>Henny Wulandari</v>
      </c>
      <c r="D43" s="46" t="str">
        <f>IF('Data Karyawan'!D38&lt;&gt;"", 'Data Karyawan'!D38, "")</f>
        <v>A1</v>
      </c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9">
        <f t="shared" si="0"/>
        <v>0</v>
      </c>
      <c r="AK43" s="49">
        <f t="shared" si="1"/>
        <v>0</v>
      </c>
      <c r="AL43" s="49">
        <f t="shared" si="2"/>
        <v>0</v>
      </c>
      <c r="AM43" s="49">
        <f t="shared" si="3"/>
        <v>0</v>
      </c>
      <c r="AN43" s="49">
        <f t="shared" si="4"/>
        <v>0</v>
      </c>
      <c r="AO43" s="53">
        <f t="shared" si="5"/>
        <v>0</v>
      </c>
    </row>
    <row r="44" spans="1:41" ht="21" customHeight="1" x14ac:dyDescent="0.25">
      <c r="A44" s="46">
        <f>IF('Data Karyawan'!A39&lt;&gt;"", 'Data Karyawan'!A39, "")</f>
        <v>36</v>
      </c>
      <c r="B44" s="46">
        <f>IF('Data Karyawan'!B39&lt;&gt;"", 'Data Karyawan'!B39, "")</f>
        <v>80144</v>
      </c>
      <c r="C44" s="47" t="str">
        <f>IF('Data Karyawan'!C39&lt;&gt;"", 'Data Karyawan'!C39, "")</f>
        <v>Dinda Amelia Putri</v>
      </c>
      <c r="D44" s="46" t="str">
        <f>IF('Data Karyawan'!D39&lt;&gt;"", 'Data Karyawan'!D39, "")</f>
        <v>A1</v>
      </c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9">
        <f t="shared" si="0"/>
        <v>0</v>
      </c>
      <c r="AK44" s="49">
        <f t="shared" si="1"/>
        <v>0</v>
      </c>
      <c r="AL44" s="49">
        <f t="shared" si="2"/>
        <v>0</v>
      </c>
      <c r="AM44" s="49">
        <f t="shared" si="3"/>
        <v>0</v>
      </c>
      <c r="AN44" s="49">
        <f t="shared" si="4"/>
        <v>0</v>
      </c>
      <c r="AO44" s="53">
        <f t="shared" si="5"/>
        <v>0</v>
      </c>
    </row>
    <row r="45" spans="1:41" ht="21" customHeight="1" x14ac:dyDescent="0.25">
      <c r="A45" s="46">
        <f>IF('Data Karyawan'!A40&lt;&gt;"", 'Data Karyawan'!A40, "")</f>
        <v>37</v>
      </c>
      <c r="B45" s="46">
        <f>IF('Data Karyawan'!B40&lt;&gt;"", 'Data Karyawan'!B40, "")</f>
        <v>80145</v>
      </c>
      <c r="C45" s="47" t="str">
        <f>IF('Data Karyawan'!C40&lt;&gt;"", 'Data Karyawan'!C40, "")</f>
        <v>Rini Ristanti</v>
      </c>
      <c r="D45" s="46" t="str">
        <f>IF('Data Karyawan'!D40&lt;&gt;"", 'Data Karyawan'!D40, "")</f>
        <v>A1</v>
      </c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9">
        <f t="shared" si="0"/>
        <v>0</v>
      </c>
      <c r="AK45" s="49">
        <f t="shared" si="1"/>
        <v>0</v>
      </c>
      <c r="AL45" s="49">
        <f t="shared" si="2"/>
        <v>0</v>
      </c>
      <c r="AM45" s="49">
        <f t="shared" si="3"/>
        <v>0</v>
      </c>
      <c r="AN45" s="49">
        <f t="shared" si="4"/>
        <v>0</v>
      </c>
      <c r="AO45" s="53">
        <f t="shared" si="5"/>
        <v>0</v>
      </c>
    </row>
    <row r="46" spans="1:41" ht="21" customHeight="1" x14ac:dyDescent="0.25">
      <c r="A46" s="46">
        <f>IF('Data Karyawan'!A41&lt;&gt;"", 'Data Karyawan'!A41, "")</f>
        <v>38</v>
      </c>
      <c r="B46" s="46">
        <f>IF('Data Karyawan'!B41&lt;&gt;"", 'Data Karyawan'!B41, "")</f>
        <v>80146</v>
      </c>
      <c r="C46" s="47" t="str">
        <f>IF('Data Karyawan'!C41&lt;&gt;"", 'Data Karyawan'!C41, "")</f>
        <v>Zunia Putri P.</v>
      </c>
      <c r="D46" s="46" t="str">
        <f>IF('Data Karyawan'!D41&lt;&gt;"", 'Data Karyawan'!D41, "")</f>
        <v>A1</v>
      </c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9">
        <f t="shared" si="0"/>
        <v>0</v>
      </c>
      <c r="AK46" s="49">
        <f t="shared" si="1"/>
        <v>0</v>
      </c>
      <c r="AL46" s="49">
        <f t="shared" si="2"/>
        <v>0</v>
      </c>
      <c r="AM46" s="49">
        <f t="shared" si="3"/>
        <v>0</v>
      </c>
      <c r="AN46" s="49">
        <f t="shared" si="4"/>
        <v>0</v>
      </c>
      <c r="AO46" s="53">
        <f t="shared" si="5"/>
        <v>0</v>
      </c>
    </row>
    <row r="47" spans="1:41" ht="21" customHeight="1" x14ac:dyDescent="0.25">
      <c r="A47" s="46">
        <f>IF('Data Karyawan'!A42&lt;&gt;"", 'Data Karyawan'!A42, "")</f>
        <v>39</v>
      </c>
      <c r="B47" s="46">
        <f>IF('Data Karyawan'!B42&lt;&gt;"", 'Data Karyawan'!B42, "")</f>
        <v>80147</v>
      </c>
      <c r="C47" s="47" t="str">
        <f>IF('Data Karyawan'!C42&lt;&gt;"", 'Data Karyawan'!C42, "")</f>
        <v>Siti Aisah</v>
      </c>
      <c r="D47" s="46" t="str">
        <f>IF('Data Karyawan'!D42&lt;&gt;"", 'Data Karyawan'!D42, "")</f>
        <v>A1</v>
      </c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9">
        <f t="shared" si="0"/>
        <v>0</v>
      </c>
      <c r="AK47" s="49">
        <f t="shared" si="1"/>
        <v>0</v>
      </c>
      <c r="AL47" s="49">
        <f t="shared" si="2"/>
        <v>0</v>
      </c>
      <c r="AM47" s="49">
        <f t="shared" si="3"/>
        <v>0</v>
      </c>
      <c r="AN47" s="49">
        <f t="shared" si="4"/>
        <v>0</v>
      </c>
      <c r="AO47" s="53">
        <f t="shared" si="5"/>
        <v>0</v>
      </c>
    </row>
    <row r="48" spans="1:41" ht="21" customHeight="1" x14ac:dyDescent="0.25">
      <c r="A48" s="46">
        <f>IF('Data Karyawan'!A43&lt;&gt;"", 'Data Karyawan'!A43, "")</f>
        <v>40</v>
      </c>
      <c r="B48" s="46">
        <f>IF('Data Karyawan'!B43&lt;&gt;"", 'Data Karyawan'!B43, "")</f>
        <v>80148</v>
      </c>
      <c r="C48" s="47" t="str">
        <f>IF('Data Karyawan'!C43&lt;&gt;"", 'Data Karyawan'!C43, "")</f>
        <v>Wiwik Ermawati</v>
      </c>
      <c r="D48" s="46" t="str">
        <f>IF('Data Karyawan'!D43&lt;&gt;"", 'Data Karyawan'!D43, "")</f>
        <v>A1</v>
      </c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9">
        <f t="shared" si="0"/>
        <v>0</v>
      </c>
      <c r="AK48" s="49">
        <f t="shared" si="1"/>
        <v>0</v>
      </c>
      <c r="AL48" s="49">
        <f t="shared" si="2"/>
        <v>0</v>
      </c>
      <c r="AM48" s="49">
        <f t="shared" si="3"/>
        <v>0</v>
      </c>
      <c r="AN48" s="49">
        <f t="shared" si="4"/>
        <v>0</v>
      </c>
      <c r="AO48" s="53">
        <f t="shared" si="5"/>
        <v>0</v>
      </c>
    </row>
    <row r="49" spans="1:41" ht="21" customHeight="1" x14ac:dyDescent="0.25">
      <c r="A49" s="46">
        <f>IF('Data Karyawan'!A44&lt;&gt;"", 'Data Karyawan'!A44, "")</f>
        <v>41</v>
      </c>
      <c r="B49" s="46">
        <f>IF('Data Karyawan'!B44&lt;&gt;"", 'Data Karyawan'!B44, "")</f>
        <v>80150</v>
      </c>
      <c r="C49" s="47" t="str">
        <f>IF('Data Karyawan'!C44&lt;&gt;"", 'Data Karyawan'!C44, "")</f>
        <v>Aprillia Putri Cahyani</v>
      </c>
      <c r="D49" s="46" t="str">
        <f>IF('Data Karyawan'!D44&lt;&gt;"", 'Data Karyawan'!D44, "")</f>
        <v>A1</v>
      </c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9">
        <f t="shared" si="0"/>
        <v>0</v>
      </c>
      <c r="AK49" s="49">
        <f t="shared" si="1"/>
        <v>0</v>
      </c>
      <c r="AL49" s="49">
        <f t="shared" si="2"/>
        <v>0</v>
      </c>
      <c r="AM49" s="49">
        <f t="shared" si="3"/>
        <v>0</v>
      </c>
      <c r="AN49" s="49">
        <f t="shared" si="4"/>
        <v>0</v>
      </c>
      <c r="AO49" s="53">
        <f t="shared" si="5"/>
        <v>0</v>
      </c>
    </row>
    <row r="50" spans="1:41" ht="21" customHeight="1" x14ac:dyDescent="0.25">
      <c r="A50" s="46">
        <f>IF('Data Karyawan'!A45&lt;&gt;"", 'Data Karyawan'!A45, "")</f>
        <v>42</v>
      </c>
      <c r="B50" s="46">
        <f>IF('Data Karyawan'!B45&lt;&gt;"", 'Data Karyawan'!B45, "")</f>
        <v>80151</v>
      </c>
      <c r="C50" s="47" t="str">
        <f>IF('Data Karyawan'!C45&lt;&gt;"", 'Data Karyawan'!C45, "")</f>
        <v>Esti Armilatus</v>
      </c>
      <c r="D50" s="46" t="str">
        <f>IF('Data Karyawan'!D45&lt;&gt;"", 'Data Karyawan'!D45, "")</f>
        <v>A1</v>
      </c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9">
        <f t="shared" si="0"/>
        <v>0</v>
      </c>
      <c r="AK50" s="49">
        <f t="shared" si="1"/>
        <v>0</v>
      </c>
      <c r="AL50" s="49">
        <f t="shared" si="2"/>
        <v>0</v>
      </c>
      <c r="AM50" s="49">
        <f t="shared" si="3"/>
        <v>0</v>
      </c>
      <c r="AN50" s="49">
        <f t="shared" si="4"/>
        <v>0</v>
      </c>
      <c r="AO50" s="53">
        <f t="shared" si="5"/>
        <v>0</v>
      </c>
    </row>
    <row r="51" spans="1:41" ht="21" customHeight="1" x14ac:dyDescent="0.25">
      <c r="A51" s="46">
        <f>IF('Data Karyawan'!A46&lt;&gt;"", 'Data Karyawan'!A46, "")</f>
        <v>43</v>
      </c>
      <c r="B51" s="46">
        <f>IF('Data Karyawan'!B46&lt;&gt;"", 'Data Karyawan'!B46, "")</f>
        <v>80152</v>
      </c>
      <c r="C51" s="47" t="str">
        <f>IF('Data Karyawan'!C46&lt;&gt;"", 'Data Karyawan'!C46, "")</f>
        <v>Athala Rania</v>
      </c>
      <c r="D51" s="46" t="str">
        <f>IF('Data Karyawan'!D46&lt;&gt;"", 'Data Karyawan'!D46, "")</f>
        <v>A1</v>
      </c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9">
        <f t="shared" si="0"/>
        <v>0</v>
      </c>
      <c r="AK51" s="49">
        <f t="shared" si="1"/>
        <v>0</v>
      </c>
      <c r="AL51" s="49">
        <f t="shared" si="2"/>
        <v>0</v>
      </c>
      <c r="AM51" s="49">
        <f t="shared" si="3"/>
        <v>0</v>
      </c>
      <c r="AN51" s="49">
        <f t="shared" si="4"/>
        <v>0</v>
      </c>
      <c r="AO51" s="53">
        <f t="shared" si="5"/>
        <v>0</v>
      </c>
    </row>
    <row r="52" spans="1:41" ht="21" customHeight="1" x14ac:dyDescent="0.25">
      <c r="A52" s="46">
        <f>IF('Data Karyawan'!A47&lt;&gt;"", 'Data Karyawan'!A47, "")</f>
        <v>44</v>
      </c>
      <c r="B52" s="46">
        <f>IF('Data Karyawan'!B47&lt;&gt;"", 'Data Karyawan'!B47, "")</f>
        <v>80153</v>
      </c>
      <c r="C52" s="47" t="str">
        <f>IF('Data Karyawan'!C47&lt;&gt;"", 'Data Karyawan'!C47, "")</f>
        <v>Anisa Bil Hikmah</v>
      </c>
      <c r="D52" s="46" t="str">
        <f>IF('Data Karyawan'!D47&lt;&gt;"", 'Data Karyawan'!D47, "")</f>
        <v>A1</v>
      </c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9">
        <f t="shared" si="0"/>
        <v>0</v>
      </c>
      <c r="AK52" s="49">
        <f t="shared" si="1"/>
        <v>0</v>
      </c>
      <c r="AL52" s="49">
        <f t="shared" si="2"/>
        <v>0</v>
      </c>
      <c r="AM52" s="49">
        <f t="shared" si="3"/>
        <v>0</v>
      </c>
      <c r="AN52" s="49">
        <f t="shared" si="4"/>
        <v>0</v>
      </c>
      <c r="AO52" s="53">
        <f t="shared" si="5"/>
        <v>0</v>
      </c>
    </row>
    <row r="53" spans="1:41" ht="21" customHeight="1" x14ac:dyDescent="0.25">
      <c r="A53" s="46">
        <f>IF('Data Karyawan'!A48&lt;&gt;"", 'Data Karyawan'!A48, "")</f>
        <v>45</v>
      </c>
      <c r="B53" s="46">
        <f>IF('Data Karyawan'!B48&lt;&gt;"", 'Data Karyawan'!B48, "")</f>
        <v>80154</v>
      </c>
      <c r="C53" s="47" t="str">
        <f>IF('Data Karyawan'!C48&lt;&gt;"", 'Data Karyawan'!C48, "")</f>
        <v>Arbecha Trivany M.A</v>
      </c>
      <c r="D53" s="46" t="str">
        <f>IF('Data Karyawan'!D48&lt;&gt;"", 'Data Karyawan'!D48, "")</f>
        <v>A1</v>
      </c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9">
        <f t="shared" si="0"/>
        <v>0</v>
      </c>
      <c r="AK53" s="49">
        <f t="shared" si="1"/>
        <v>0</v>
      </c>
      <c r="AL53" s="49">
        <f t="shared" si="2"/>
        <v>0</v>
      </c>
      <c r="AM53" s="49">
        <f t="shared" si="3"/>
        <v>0</v>
      </c>
      <c r="AN53" s="49">
        <f t="shared" si="4"/>
        <v>0</v>
      </c>
      <c r="AO53" s="53">
        <f t="shared" si="5"/>
        <v>0</v>
      </c>
    </row>
    <row r="54" spans="1:41" ht="21" customHeight="1" x14ac:dyDescent="0.25">
      <c r="A54" s="46">
        <f>IF('Data Karyawan'!A49&lt;&gt;"", 'Data Karyawan'!A49, "")</f>
        <v>46</v>
      </c>
      <c r="B54" s="46">
        <f>IF('Data Karyawan'!B49&lt;&gt;"", 'Data Karyawan'!B49, "")</f>
        <v>80155</v>
      </c>
      <c r="C54" s="47" t="str">
        <f>IF('Data Karyawan'!C49&lt;&gt;"", 'Data Karyawan'!C49, "")</f>
        <v>Fitri Permatasari</v>
      </c>
      <c r="D54" s="46" t="str">
        <f>IF('Data Karyawan'!D49&lt;&gt;"", 'Data Karyawan'!D49, "")</f>
        <v>A1</v>
      </c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9">
        <f t="shared" si="0"/>
        <v>0</v>
      </c>
      <c r="AK54" s="49">
        <f t="shared" si="1"/>
        <v>0</v>
      </c>
      <c r="AL54" s="49">
        <f t="shared" si="2"/>
        <v>0</v>
      </c>
      <c r="AM54" s="49">
        <f t="shared" si="3"/>
        <v>0</v>
      </c>
      <c r="AN54" s="49">
        <f t="shared" si="4"/>
        <v>0</v>
      </c>
      <c r="AO54" s="53">
        <f t="shared" si="5"/>
        <v>0</v>
      </c>
    </row>
    <row r="55" spans="1:41" ht="21" customHeight="1" x14ac:dyDescent="0.25">
      <c r="A55" s="46">
        <f>IF('Data Karyawan'!A50&lt;&gt;"", 'Data Karyawan'!A50, "")</f>
        <v>47</v>
      </c>
      <c r="B55" s="46">
        <f>IF('Data Karyawan'!B50&lt;&gt;"", 'Data Karyawan'!B50, "")</f>
        <v>80156</v>
      </c>
      <c r="C55" s="47" t="str">
        <f>IF('Data Karyawan'!C50&lt;&gt;"", 'Data Karyawan'!C50, "")</f>
        <v>Kovivah</v>
      </c>
      <c r="D55" s="46" t="str">
        <f>IF('Data Karyawan'!D50&lt;&gt;"", 'Data Karyawan'!D50, "")</f>
        <v>A1</v>
      </c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9">
        <f t="shared" si="0"/>
        <v>0</v>
      </c>
      <c r="AK55" s="49">
        <f t="shared" si="1"/>
        <v>0</v>
      </c>
      <c r="AL55" s="49">
        <f t="shared" si="2"/>
        <v>0</v>
      </c>
      <c r="AM55" s="49">
        <f t="shared" si="3"/>
        <v>0</v>
      </c>
      <c r="AN55" s="49">
        <f t="shared" si="4"/>
        <v>0</v>
      </c>
      <c r="AO55" s="53">
        <f t="shared" si="5"/>
        <v>0</v>
      </c>
    </row>
    <row r="56" spans="1:41" ht="21" customHeight="1" x14ac:dyDescent="0.25">
      <c r="A56" s="46">
        <f>IF('Data Karyawan'!A51&lt;&gt;"", 'Data Karyawan'!A51, "")</f>
        <v>48</v>
      </c>
      <c r="B56" s="46">
        <f>IF('Data Karyawan'!B51&lt;&gt;"", 'Data Karyawan'!B51, "")</f>
        <v>80157</v>
      </c>
      <c r="C56" s="47" t="str">
        <f>IF('Data Karyawan'!C51&lt;&gt;"", 'Data Karyawan'!C51, "")</f>
        <v>Nadin Candra Winata</v>
      </c>
      <c r="D56" s="46" t="str">
        <f>IF('Data Karyawan'!D51&lt;&gt;"", 'Data Karyawan'!D51, "")</f>
        <v>A1</v>
      </c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9">
        <f t="shared" si="0"/>
        <v>0</v>
      </c>
      <c r="AK56" s="49">
        <f t="shared" si="1"/>
        <v>0</v>
      </c>
      <c r="AL56" s="49">
        <f t="shared" si="2"/>
        <v>0</v>
      </c>
      <c r="AM56" s="49">
        <f t="shared" si="3"/>
        <v>0</v>
      </c>
      <c r="AN56" s="49">
        <f t="shared" si="4"/>
        <v>0</v>
      </c>
      <c r="AO56" s="53">
        <f t="shared" si="5"/>
        <v>0</v>
      </c>
    </row>
    <row r="57" spans="1:41" ht="21" customHeight="1" x14ac:dyDescent="0.25">
      <c r="A57" s="46">
        <f>IF('Data Karyawan'!A52&lt;&gt;"", 'Data Karyawan'!A52, "")</f>
        <v>49</v>
      </c>
      <c r="B57" s="46">
        <f>IF('Data Karyawan'!B52&lt;&gt;"", 'Data Karyawan'!B52, "")</f>
        <v>80158</v>
      </c>
      <c r="C57" s="47" t="str">
        <f>IF('Data Karyawan'!C52&lt;&gt;"", 'Data Karyawan'!C52, "")</f>
        <v>Nur Hidayah</v>
      </c>
      <c r="D57" s="46" t="str">
        <f>IF('Data Karyawan'!D52&lt;&gt;"", 'Data Karyawan'!D52, "")</f>
        <v>A1</v>
      </c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9">
        <f t="shared" si="0"/>
        <v>0</v>
      </c>
      <c r="AK57" s="49">
        <f t="shared" si="1"/>
        <v>0</v>
      </c>
      <c r="AL57" s="49">
        <f t="shared" si="2"/>
        <v>0</v>
      </c>
      <c r="AM57" s="49">
        <f t="shared" si="3"/>
        <v>0</v>
      </c>
      <c r="AN57" s="49">
        <f t="shared" si="4"/>
        <v>0</v>
      </c>
      <c r="AO57" s="53">
        <f t="shared" si="5"/>
        <v>0</v>
      </c>
    </row>
    <row r="58" spans="1:41" ht="21" customHeight="1" x14ac:dyDescent="0.25">
      <c r="A58" s="46">
        <f>IF('Data Karyawan'!A53&lt;&gt;"", 'Data Karyawan'!A53, "")</f>
        <v>50</v>
      </c>
      <c r="B58" s="46">
        <f>IF('Data Karyawan'!B53&lt;&gt;"", 'Data Karyawan'!B53, "")</f>
        <v>80159</v>
      </c>
      <c r="C58" s="47" t="str">
        <f>IF('Data Karyawan'!C53&lt;&gt;"", 'Data Karyawan'!C53, "")</f>
        <v>Wulan Khusnul K</v>
      </c>
      <c r="D58" s="46" t="str">
        <f>IF('Data Karyawan'!D53&lt;&gt;"", 'Data Karyawan'!D53, "")</f>
        <v>A1</v>
      </c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9">
        <f t="shared" si="0"/>
        <v>0</v>
      </c>
      <c r="AK58" s="49">
        <f t="shared" si="1"/>
        <v>0</v>
      </c>
      <c r="AL58" s="49">
        <f t="shared" si="2"/>
        <v>0</v>
      </c>
      <c r="AM58" s="49">
        <f t="shared" si="3"/>
        <v>0</v>
      </c>
      <c r="AN58" s="49">
        <f t="shared" si="4"/>
        <v>0</v>
      </c>
      <c r="AO58" s="53">
        <f t="shared" si="5"/>
        <v>0</v>
      </c>
    </row>
    <row r="59" spans="1:41" ht="21" customHeight="1" x14ac:dyDescent="0.25">
      <c r="A59" s="46">
        <f>IF('Data Karyawan'!A54&lt;&gt;"", 'Data Karyawan'!A54, "")</f>
        <v>51</v>
      </c>
      <c r="B59" s="46">
        <f>IF('Data Karyawan'!B54&lt;&gt;"", 'Data Karyawan'!B54, "")</f>
        <v>80160</v>
      </c>
      <c r="C59" s="47" t="str">
        <f>IF('Data Karyawan'!C54&lt;&gt;"", 'Data Karyawan'!C54, "")</f>
        <v>Dina Fitriani</v>
      </c>
      <c r="D59" s="46" t="str">
        <f>IF('Data Karyawan'!D54&lt;&gt;"", 'Data Karyawan'!D54, "")</f>
        <v>A1</v>
      </c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9">
        <f t="shared" si="0"/>
        <v>0</v>
      </c>
      <c r="AK59" s="49">
        <f t="shared" si="1"/>
        <v>0</v>
      </c>
      <c r="AL59" s="49">
        <f t="shared" si="2"/>
        <v>0</v>
      </c>
      <c r="AM59" s="49">
        <f t="shared" si="3"/>
        <v>0</v>
      </c>
      <c r="AN59" s="49">
        <f t="shared" si="4"/>
        <v>0</v>
      </c>
      <c r="AO59" s="53">
        <f t="shared" si="5"/>
        <v>0</v>
      </c>
    </row>
    <row r="60" spans="1:41" ht="21" customHeight="1" x14ac:dyDescent="0.25">
      <c r="A60" s="46">
        <f>IF('Data Karyawan'!A55&lt;&gt;"", 'Data Karyawan'!A55, "")</f>
        <v>52</v>
      </c>
      <c r="B60" s="46">
        <f>IF('Data Karyawan'!B55&lt;&gt;"", 'Data Karyawan'!B55, "")</f>
        <v>80161</v>
      </c>
      <c r="C60" s="47" t="str">
        <f>IF('Data Karyawan'!C55&lt;&gt;"", 'Data Karyawan'!C55, "")</f>
        <v>Keren Triesya Despita</v>
      </c>
      <c r="D60" s="46" t="str">
        <f>IF('Data Karyawan'!D55&lt;&gt;"", 'Data Karyawan'!D55, "")</f>
        <v>A1</v>
      </c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9">
        <f t="shared" si="0"/>
        <v>0</v>
      </c>
      <c r="AK60" s="49">
        <f t="shared" si="1"/>
        <v>0</v>
      </c>
      <c r="AL60" s="49">
        <f t="shared" si="2"/>
        <v>0</v>
      </c>
      <c r="AM60" s="49">
        <f t="shared" si="3"/>
        <v>0</v>
      </c>
      <c r="AN60" s="49">
        <f t="shared" si="4"/>
        <v>0</v>
      </c>
      <c r="AO60" s="53">
        <f t="shared" si="5"/>
        <v>0</v>
      </c>
    </row>
    <row r="61" spans="1:41" ht="21" customHeight="1" x14ac:dyDescent="0.25">
      <c r="A61" s="46">
        <f>IF('Data Karyawan'!A56&lt;&gt;"", 'Data Karyawan'!A56, "")</f>
        <v>53</v>
      </c>
      <c r="B61" s="46">
        <f>IF('Data Karyawan'!B56&lt;&gt;"", 'Data Karyawan'!B56, "")</f>
        <v>80162</v>
      </c>
      <c r="C61" s="47" t="str">
        <f>IF('Data Karyawan'!C56&lt;&gt;"", 'Data Karyawan'!C56, "")</f>
        <v>Natasya Dwi F</v>
      </c>
      <c r="D61" s="46" t="str">
        <f>IF('Data Karyawan'!D56&lt;&gt;"", 'Data Karyawan'!D56, "")</f>
        <v>A1</v>
      </c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9">
        <f t="shared" si="0"/>
        <v>0</v>
      </c>
      <c r="AK61" s="49">
        <f t="shared" si="1"/>
        <v>0</v>
      </c>
      <c r="AL61" s="49">
        <f t="shared" si="2"/>
        <v>0</v>
      </c>
      <c r="AM61" s="49">
        <f t="shared" si="3"/>
        <v>0</v>
      </c>
      <c r="AN61" s="49">
        <f t="shared" si="4"/>
        <v>0</v>
      </c>
      <c r="AO61" s="53">
        <f t="shared" si="5"/>
        <v>0</v>
      </c>
    </row>
    <row r="62" spans="1:41" ht="21" customHeight="1" x14ac:dyDescent="0.25">
      <c r="A62" s="46">
        <f>IF('Data Karyawan'!A57&lt;&gt;"", 'Data Karyawan'!A57, "")</f>
        <v>54</v>
      </c>
      <c r="B62" s="46">
        <f>IF('Data Karyawan'!B57&lt;&gt;"", 'Data Karyawan'!B57, "")</f>
        <v>80164</v>
      </c>
      <c r="C62" s="47" t="str">
        <f>IF('Data Karyawan'!C57&lt;&gt;"", 'Data Karyawan'!C57, "")</f>
        <v>Nur Fani O.</v>
      </c>
      <c r="D62" s="46" t="str">
        <f>IF('Data Karyawan'!D57&lt;&gt;"", 'Data Karyawan'!D57, "")</f>
        <v>A1</v>
      </c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9">
        <f t="shared" si="0"/>
        <v>0</v>
      </c>
      <c r="AK62" s="49">
        <f t="shared" si="1"/>
        <v>0</v>
      </c>
      <c r="AL62" s="49">
        <f t="shared" si="2"/>
        <v>0</v>
      </c>
      <c r="AM62" s="49">
        <f t="shared" si="3"/>
        <v>0</v>
      </c>
      <c r="AN62" s="49">
        <f t="shared" si="4"/>
        <v>0</v>
      </c>
      <c r="AO62" s="53">
        <f t="shared" si="5"/>
        <v>0</v>
      </c>
    </row>
    <row r="63" spans="1:41" ht="21" customHeight="1" x14ac:dyDescent="0.25">
      <c r="A63" s="46">
        <f>IF('Data Karyawan'!A58&lt;&gt;"", 'Data Karyawan'!A58, "")</f>
        <v>55</v>
      </c>
      <c r="B63" s="46">
        <f>IF('Data Karyawan'!B58&lt;&gt;"", 'Data Karyawan'!B58, "")</f>
        <v>80169</v>
      </c>
      <c r="C63" s="47" t="str">
        <f>IF('Data Karyawan'!C58&lt;&gt;"", 'Data Karyawan'!C58, "")</f>
        <v>Ayu Maulida</v>
      </c>
      <c r="D63" s="46" t="str">
        <f>IF('Data Karyawan'!D58&lt;&gt;"", 'Data Karyawan'!D58, "")</f>
        <v>A1</v>
      </c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9">
        <f t="shared" si="0"/>
        <v>0</v>
      </c>
      <c r="AK63" s="49">
        <f t="shared" si="1"/>
        <v>0</v>
      </c>
      <c r="AL63" s="49">
        <f t="shared" si="2"/>
        <v>0</v>
      </c>
      <c r="AM63" s="49">
        <f t="shared" si="3"/>
        <v>0</v>
      </c>
      <c r="AN63" s="49">
        <f t="shared" si="4"/>
        <v>0</v>
      </c>
      <c r="AO63" s="53">
        <f t="shared" si="5"/>
        <v>0</v>
      </c>
    </row>
    <row r="64" spans="1:41" ht="21" customHeight="1" x14ac:dyDescent="0.25">
      <c r="A64" s="46">
        <f>IF('Data Karyawan'!A59&lt;&gt;"", 'Data Karyawan'!A59, "")</f>
        <v>56</v>
      </c>
      <c r="B64" s="46">
        <f>IF('Data Karyawan'!B59&lt;&gt;"", 'Data Karyawan'!B59, "")</f>
        <v>80170</v>
      </c>
      <c r="C64" s="47" t="str">
        <f>IF('Data Karyawan'!C59&lt;&gt;"", 'Data Karyawan'!C59, "")</f>
        <v>Ayu Afrani</v>
      </c>
      <c r="D64" s="46" t="str">
        <f>IF('Data Karyawan'!D59&lt;&gt;"", 'Data Karyawan'!D59, "")</f>
        <v>A1</v>
      </c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9">
        <f t="shared" si="0"/>
        <v>0</v>
      </c>
      <c r="AK64" s="49">
        <f t="shared" si="1"/>
        <v>0</v>
      </c>
      <c r="AL64" s="49">
        <f t="shared" si="2"/>
        <v>0</v>
      </c>
      <c r="AM64" s="49">
        <f t="shared" si="3"/>
        <v>0</v>
      </c>
      <c r="AN64" s="49">
        <f t="shared" si="4"/>
        <v>0</v>
      </c>
      <c r="AO64" s="53">
        <f t="shared" si="5"/>
        <v>0</v>
      </c>
    </row>
    <row r="65" spans="1:41" ht="21" customHeight="1" x14ac:dyDescent="0.25">
      <c r="A65" s="46">
        <f>IF('Data Karyawan'!A60&lt;&gt;"", 'Data Karyawan'!A60, "")</f>
        <v>57</v>
      </c>
      <c r="B65" s="46">
        <f>IF('Data Karyawan'!B60&lt;&gt;"", 'Data Karyawan'!B60, "")</f>
        <v>80171</v>
      </c>
      <c r="C65" s="47" t="str">
        <f>IF('Data Karyawan'!C60&lt;&gt;"", 'Data Karyawan'!C60, "")</f>
        <v>Secma Agustina</v>
      </c>
      <c r="D65" s="46" t="str">
        <f>IF('Data Karyawan'!D60&lt;&gt;"", 'Data Karyawan'!D60, "")</f>
        <v>A1</v>
      </c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9">
        <f t="shared" si="0"/>
        <v>0</v>
      </c>
      <c r="AK65" s="49">
        <f t="shared" si="1"/>
        <v>0</v>
      </c>
      <c r="AL65" s="49">
        <f t="shared" si="2"/>
        <v>0</v>
      </c>
      <c r="AM65" s="49">
        <f t="shared" si="3"/>
        <v>0</v>
      </c>
      <c r="AN65" s="49">
        <f t="shared" si="4"/>
        <v>0</v>
      </c>
      <c r="AO65" s="53">
        <f t="shared" si="5"/>
        <v>0</v>
      </c>
    </row>
    <row r="66" spans="1:41" ht="21" customHeight="1" x14ac:dyDescent="0.25">
      <c r="A66" s="46">
        <f>IF('Data Karyawan'!A61&lt;&gt;"", 'Data Karyawan'!A61, "")</f>
        <v>58</v>
      </c>
      <c r="B66" s="46">
        <f>IF('Data Karyawan'!B61&lt;&gt;"", 'Data Karyawan'!B61, "")</f>
        <v>80172</v>
      </c>
      <c r="C66" s="47" t="str">
        <f>IF('Data Karyawan'!C61&lt;&gt;"", 'Data Karyawan'!C61, "")</f>
        <v>Elfareta Dwi Agustina</v>
      </c>
      <c r="D66" s="46" t="str">
        <f>IF('Data Karyawan'!D61&lt;&gt;"", 'Data Karyawan'!D61, "")</f>
        <v>A1</v>
      </c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9">
        <f t="shared" si="0"/>
        <v>0</v>
      </c>
      <c r="AK66" s="49">
        <f t="shared" si="1"/>
        <v>0</v>
      </c>
      <c r="AL66" s="49">
        <f t="shared" si="2"/>
        <v>0</v>
      </c>
      <c r="AM66" s="49">
        <f t="shared" si="3"/>
        <v>0</v>
      </c>
      <c r="AN66" s="49">
        <f t="shared" si="4"/>
        <v>0</v>
      </c>
      <c r="AO66" s="53">
        <f t="shared" si="5"/>
        <v>0</v>
      </c>
    </row>
    <row r="67" spans="1:41" ht="21" customHeight="1" x14ac:dyDescent="0.25">
      <c r="A67" s="46">
        <f>IF('Data Karyawan'!A62&lt;&gt;"", 'Data Karyawan'!A62, "")</f>
        <v>59</v>
      </c>
      <c r="B67" s="46">
        <f>IF('Data Karyawan'!B62&lt;&gt;"", 'Data Karyawan'!B62, "")</f>
        <v>80173</v>
      </c>
      <c r="C67" s="47" t="str">
        <f>IF('Data Karyawan'!C62&lt;&gt;"", 'Data Karyawan'!C62, "")</f>
        <v>Lutfi Juniar Mafikhasani</v>
      </c>
      <c r="D67" s="46" t="str">
        <f>IF('Data Karyawan'!D62&lt;&gt;"", 'Data Karyawan'!D62, "")</f>
        <v>A1</v>
      </c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9">
        <f t="shared" si="0"/>
        <v>0</v>
      </c>
      <c r="AK67" s="49">
        <f t="shared" si="1"/>
        <v>0</v>
      </c>
      <c r="AL67" s="49">
        <f t="shared" si="2"/>
        <v>0</v>
      </c>
      <c r="AM67" s="49">
        <f t="shared" si="3"/>
        <v>0</v>
      </c>
      <c r="AN67" s="49">
        <f t="shared" si="4"/>
        <v>0</v>
      </c>
      <c r="AO67" s="53">
        <f t="shared" si="5"/>
        <v>0</v>
      </c>
    </row>
    <row r="68" spans="1:41" ht="21" customHeight="1" x14ac:dyDescent="0.25">
      <c r="A68" s="46">
        <f>IF('Data Karyawan'!A63&lt;&gt;"", 'Data Karyawan'!A63, "")</f>
        <v>60</v>
      </c>
      <c r="B68" s="46">
        <f>IF('Data Karyawan'!B63&lt;&gt;"", 'Data Karyawan'!B63, "")</f>
        <v>80175</v>
      </c>
      <c r="C68" s="47" t="str">
        <f>IF('Data Karyawan'!C63&lt;&gt;"", 'Data Karyawan'!C63, "")</f>
        <v>Nunik Wigiastutik</v>
      </c>
      <c r="D68" s="46" t="str">
        <f>IF('Data Karyawan'!D63&lt;&gt;"", 'Data Karyawan'!D63, "")</f>
        <v>A1</v>
      </c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9">
        <f t="shared" si="0"/>
        <v>0</v>
      </c>
      <c r="AK68" s="49">
        <f t="shared" si="1"/>
        <v>0</v>
      </c>
      <c r="AL68" s="49">
        <f t="shared" si="2"/>
        <v>0</v>
      </c>
      <c r="AM68" s="49">
        <f t="shared" si="3"/>
        <v>0</v>
      </c>
      <c r="AN68" s="49">
        <f t="shared" si="4"/>
        <v>0</v>
      </c>
      <c r="AO68" s="53">
        <f t="shared" si="5"/>
        <v>0</v>
      </c>
    </row>
    <row r="69" spans="1:41" ht="21" customHeight="1" x14ac:dyDescent="0.25">
      <c r="A69" s="46">
        <f>IF('Data Karyawan'!A64&lt;&gt;"", 'Data Karyawan'!A64, "")</f>
        <v>61</v>
      </c>
      <c r="B69" s="46">
        <f>IF('Data Karyawan'!B64&lt;&gt;"", 'Data Karyawan'!B64, "")</f>
        <v>80177</v>
      </c>
      <c r="C69" s="47" t="str">
        <f>IF('Data Karyawan'!C64&lt;&gt;"", 'Data Karyawan'!C64, "")</f>
        <v>Lintang Saputri</v>
      </c>
      <c r="D69" s="46" t="str">
        <f>IF('Data Karyawan'!D64&lt;&gt;"", 'Data Karyawan'!D64, "")</f>
        <v>A1</v>
      </c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9">
        <f t="shared" si="0"/>
        <v>0</v>
      </c>
      <c r="AK69" s="49">
        <f t="shared" si="1"/>
        <v>0</v>
      </c>
      <c r="AL69" s="49">
        <f t="shared" si="2"/>
        <v>0</v>
      </c>
      <c r="AM69" s="49">
        <f t="shared" si="3"/>
        <v>0</v>
      </c>
      <c r="AN69" s="49">
        <f t="shared" si="4"/>
        <v>0</v>
      </c>
      <c r="AO69" s="53">
        <f t="shared" si="5"/>
        <v>0</v>
      </c>
    </row>
    <row r="70" spans="1:41" ht="21" customHeight="1" x14ac:dyDescent="0.25">
      <c r="A70" s="46">
        <f>IF('Data Karyawan'!A65&lt;&gt;"", 'Data Karyawan'!A65, "")</f>
        <v>62</v>
      </c>
      <c r="B70" s="46">
        <f>IF('Data Karyawan'!B65&lt;&gt;"", 'Data Karyawan'!B65, "")</f>
        <v>80180</v>
      </c>
      <c r="C70" s="47" t="str">
        <f>IF('Data Karyawan'!C65&lt;&gt;"", 'Data Karyawan'!C65, "")</f>
        <v>Dian Herlina Putri</v>
      </c>
      <c r="D70" s="46" t="str">
        <f>IF('Data Karyawan'!D65&lt;&gt;"", 'Data Karyawan'!D65, "")</f>
        <v>A1</v>
      </c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9">
        <f t="shared" si="0"/>
        <v>0</v>
      </c>
      <c r="AK70" s="49">
        <f t="shared" si="1"/>
        <v>0</v>
      </c>
      <c r="AL70" s="49">
        <f t="shared" si="2"/>
        <v>0</v>
      </c>
      <c r="AM70" s="49">
        <f t="shared" si="3"/>
        <v>0</v>
      </c>
      <c r="AN70" s="49">
        <f t="shared" si="4"/>
        <v>0</v>
      </c>
      <c r="AO70" s="53">
        <f t="shared" si="5"/>
        <v>0</v>
      </c>
    </row>
    <row r="71" spans="1:41" ht="21" customHeight="1" x14ac:dyDescent="0.25">
      <c r="A71" s="46">
        <f>IF('Data Karyawan'!A66&lt;&gt;"", 'Data Karyawan'!A66, "")</f>
        <v>63</v>
      </c>
      <c r="B71" s="46">
        <f>IF('Data Karyawan'!B66&lt;&gt;"", 'Data Karyawan'!B66, "")</f>
        <v>80181</v>
      </c>
      <c r="C71" s="47" t="str">
        <f>IF('Data Karyawan'!C66&lt;&gt;"", 'Data Karyawan'!C66, "")</f>
        <v>Roudlotul Jannah</v>
      </c>
      <c r="D71" s="46" t="str">
        <f>IF('Data Karyawan'!D66&lt;&gt;"", 'Data Karyawan'!D66, "")</f>
        <v>A1</v>
      </c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9">
        <f t="shared" si="0"/>
        <v>0</v>
      </c>
      <c r="AK71" s="49">
        <f t="shared" si="1"/>
        <v>0</v>
      </c>
      <c r="AL71" s="49">
        <f t="shared" si="2"/>
        <v>0</v>
      </c>
      <c r="AM71" s="49">
        <f t="shared" si="3"/>
        <v>0</v>
      </c>
      <c r="AN71" s="49">
        <f t="shared" si="4"/>
        <v>0</v>
      </c>
      <c r="AO71" s="53">
        <f t="shared" si="5"/>
        <v>0</v>
      </c>
    </row>
    <row r="72" spans="1:41" ht="21" customHeight="1" x14ac:dyDescent="0.25">
      <c r="A72" s="46">
        <f>IF('Data Karyawan'!A67&lt;&gt;"", 'Data Karyawan'!A67, "")</f>
        <v>64</v>
      </c>
      <c r="B72" s="46">
        <f>IF('Data Karyawan'!B67&lt;&gt;"", 'Data Karyawan'!B67, "")</f>
        <v>80182</v>
      </c>
      <c r="C72" s="47" t="str">
        <f>IF('Data Karyawan'!C67&lt;&gt;"", 'Data Karyawan'!C67, "")</f>
        <v>Linda Kurnia R</v>
      </c>
      <c r="D72" s="46" t="str">
        <f>IF('Data Karyawan'!D67&lt;&gt;"", 'Data Karyawan'!D67, "")</f>
        <v>A1</v>
      </c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9">
        <f t="shared" si="0"/>
        <v>0</v>
      </c>
      <c r="AK72" s="49">
        <f t="shared" si="1"/>
        <v>0</v>
      </c>
      <c r="AL72" s="49">
        <f t="shared" si="2"/>
        <v>0</v>
      </c>
      <c r="AM72" s="49">
        <f t="shared" si="3"/>
        <v>0</v>
      </c>
      <c r="AN72" s="49">
        <f t="shared" si="4"/>
        <v>0</v>
      </c>
      <c r="AO72" s="53">
        <f t="shared" si="5"/>
        <v>0</v>
      </c>
    </row>
    <row r="73" spans="1:41" ht="21" customHeight="1" x14ac:dyDescent="0.25">
      <c r="A73" s="46">
        <f>IF('Data Karyawan'!A68&lt;&gt;"", 'Data Karyawan'!A68, "")</f>
        <v>65</v>
      </c>
      <c r="B73" s="46">
        <f>IF('Data Karyawan'!B68&lt;&gt;"", 'Data Karyawan'!B68, "")</f>
        <v>80183</v>
      </c>
      <c r="C73" s="47" t="str">
        <f>IF('Data Karyawan'!C68&lt;&gt;"", 'Data Karyawan'!C68, "")</f>
        <v>Rindi Oktaviani</v>
      </c>
      <c r="D73" s="46" t="str">
        <f>IF('Data Karyawan'!D68&lt;&gt;"", 'Data Karyawan'!D68, "")</f>
        <v>A1</v>
      </c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9">
        <f t="shared" ref="AJ73:AJ136" si="6">IF($C73="","",COUNTIF(E73:AI73, "H"))</f>
        <v>0</v>
      </c>
      <c r="AK73" s="49">
        <f t="shared" ref="AK73:AK136" si="7">IF($C73="","",COUNTIF(E73:AI73, "S"))</f>
        <v>0</v>
      </c>
      <c r="AL73" s="49">
        <f t="shared" ref="AL73:AL136" si="8">IF($C73="","",COUNTIF(E73:AI73, "I"))</f>
        <v>0</v>
      </c>
      <c r="AM73" s="49">
        <f t="shared" ref="AM73:AM136" si="9">IF($C73="","",COUNTIF(E73:AI73, "A"))</f>
        <v>0</v>
      </c>
      <c r="AN73" s="49">
        <f t="shared" ref="AN73:AN136" si="10">IF($C73="","",COUNTIF(E73:AI73, "C"))</f>
        <v>0</v>
      </c>
      <c r="AO73" s="53">
        <f t="shared" ref="AO73:AO136" si="11">IF(OR($B73="",(AJ73+AK73+AL73+AM73)=0),0,AJ73/(AJ73+AK73+AL73+AM73))</f>
        <v>0</v>
      </c>
    </row>
    <row r="74" spans="1:41" ht="21" customHeight="1" x14ac:dyDescent="0.25">
      <c r="A74" s="46">
        <f>IF('Data Karyawan'!A69&lt;&gt;"", 'Data Karyawan'!A69, "")</f>
        <v>66</v>
      </c>
      <c r="B74" s="46">
        <f>IF('Data Karyawan'!B69&lt;&gt;"", 'Data Karyawan'!B69, "")</f>
        <v>80184</v>
      </c>
      <c r="C74" s="47" t="str">
        <f>IF('Data Karyawan'!C69&lt;&gt;"", 'Data Karyawan'!C69, "")</f>
        <v>Dini Triarinda</v>
      </c>
      <c r="D74" s="46" t="str">
        <f>IF('Data Karyawan'!D69&lt;&gt;"", 'Data Karyawan'!D69, "")</f>
        <v>A1</v>
      </c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9">
        <f t="shared" si="6"/>
        <v>0</v>
      </c>
      <c r="AK74" s="49">
        <f t="shared" si="7"/>
        <v>0</v>
      </c>
      <c r="AL74" s="49">
        <f t="shared" si="8"/>
        <v>0</v>
      </c>
      <c r="AM74" s="49">
        <f t="shared" si="9"/>
        <v>0</v>
      </c>
      <c r="AN74" s="49">
        <f t="shared" si="10"/>
        <v>0</v>
      </c>
      <c r="AO74" s="53">
        <f t="shared" si="11"/>
        <v>0</v>
      </c>
    </row>
    <row r="75" spans="1:41" ht="21" customHeight="1" x14ac:dyDescent="0.25">
      <c r="A75" s="46">
        <f>IF('Data Karyawan'!A70&lt;&gt;"", 'Data Karyawan'!A70, "")</f>
        <v>67</v>
      </c>
      <c r="B75" s="46">
        <f>IF('Data Karyawan'!B70&lt;&gt;"", 'Data Karyawan'!B70, "")</f>
        <v>80185</v>
      </c>
      <c r="C75" s="47" t="str">
        <f>IF('Data Karyawan'!C70&lt;&gt;"", 'Data Karyawan'!C70, "")</f>
        <v>Alisya Hadi Putri</v>
      </c>
      <c r="D75" s="46" t="str">
        <f>IF('Data Karyawan'!D70&lt;&gt;"", 'Data Karyawan'!D70, "")</f>
        <v>A1</v>
      </c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9">
        <f t="shared" si="6"/>
        <v>0</v>
      </c>
      <c r="AK75" s="49">
        <f t="shared" si="7"/>
        <v>0</v>
      </c>
      <c r="AL75" s="49">
        <f t="shared" si="8"/>
        <v>0</v>
      </c>
      <c r="AM75" s="49">
        <f t="shared" si="9"/>
        <v>0</v>
      </c>
      <c r="AN75" s="49">
        <f t="shared" si="10"/>
        <v>0</v>
      </c>
      <c r="AO75" s="53">
        <f t="shared" si="11"/>
        <v>0</v>
      </c>
    </row>
    <row r="76" spans="1:41" ht="21" customHeight="1" x14ac:dyDescent="0.25">
      <c r="A76" s="46">
        <f>IF('Data Karyawan'!A71&lt;&gt;"", 'Data Karyawan'!A71, "")</f>
        <v>68</v>
      </c>
      <c r="B76" s="46">
        <f>IF('Data Karyawan'!B71&lt;&gt;"", 'Data Karyawan'!B71, "")</f>
        <v>80186</v>
      </c>
      <c r="C76" s="47" t="str">
        <f>IF('Data Karyawan'!C71&lt;&gt;"", 'Data Karyawan'!C71, "")</f>
        <v>Arum Dwi Cahyani</v>
      </c>
      <c r="D76" s="46" t="str">
        <f>IF('Data Karyawan'!D71&lt;&gt;"", 'Data Karyawan'!D71, "")</f>
        <v>A1</v>
      </c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9">
        <f t="shared" si="6"/>
        <v>0</v>
      </c>
      <c r="AK76" s="49">
        <f t="shared" si="7"/>
        <v>0</v>
      </c>
      <c r="AL76" s="49">
        <f t="shared" si="8"/>
        <v>0</v>
      </c>
      <c r="AM76" s="49">
        <f t="shared" si="9"/>
        <v>0</v>
      </c>
      <c r="AN76" s="49">
        <f t="shared" si="10"/>
        <v>0</v>
      </c>
      <c r="AO76" s="53">
        <f t="shared" si="11"/>
        <v>0</v>
      </c>
    </row>
    <row r="77" spans="1:41" ht="21" customHeight="1" x14ac:dyDescent="0.25">
      <c r="A77" s="46">
        <f>IF('Data Karyawan'!A72&lt;&gt;"", 'Data Karyawan'!A72, "")</f>
        <v>69</v>
      </c>
      <c r="B77" s="46">
        <f>IF('Data Karyawan'!B72&lt;&gt;"", 'Data Karyawan'!B72, "")</f>
        <v>80187</v>
      </c>
      <c r="C77" s="47" t="str">
        <f>IF('Data Karyawan'!C72&lt;&gt;"", 'Data Karyawan'!C72, "")</f>
        <v>Oktavia Tri Ramadhani</v>
      </c>
      <c r="D77" s="46" t="str">
        <f>IF('Data Karyawan'!D72&lt;&gt;"", 'Data Karyawan'!D72, "")</f>
        <v>A1</v>
      </c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9">
        <f t="shared" si="6"/>
        <v>0</v>
      </c>
      <c r="AK77" s="49">
        <f t="shared" si="7"/>
        <v>0</v>
      </c>
      <c r="AL77" s="49">
        <f t="shared" si="8"/>
        <v>0</v>
      </c>
      <c r="AM77" s="49">
        <f t="shared" si="9"/>
        <v>0</v>
      </c>
      <c r="AN77" s="49">
        <f t="shared" si="10"/>
        <v>0</v>
      </c>
      <c r="AO77" s="53">
        <f t="shared" si="11"/>
        <v>0</v>
      </c>
    </row>
    <row r="78" spans="1:41" ht="21" customHeight="1" x14ac:dyDescent="0.25">
      <c r="A78" s="46">
        <f>IF('Data Karyawan'!A73&lt;&gt;"", 'Data Karyawan'!A73, "")</f>
        <v>70</v>
      </c>
      <c r="B78" s="46">
        <f>IF('Data Karyawan'!B73&lt;&gt;"", 'Data Karyawan'!B73, "")</f>
        <v>80188</v>
      </c>
      <c r="C78" s="47" t="str">
        <f>IF('Data Karyawan'!C73&lt;&gt;"", 'Data Karyawan'!C73, "")</f>
        <v>Sinta Rahayu</v>
      </c>
      <c r="D78" s="46" t="str">
        <f>IF('Data Karyawan'!D73&lt;&gt;"", 'Data Karyawan'!D73, "")</f>
        <v>A1</v>
      </c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9">
        <f t="shared" si="6"/>
        <v>0</v>
      </c>
      <c r="AK78" s="49">
        <f t="shared" si="7"/>
        <v>0</v>
      </c>
      <c r="AL78" s="49">
        <f t="shared" si="8"/>
        <v>0</v>
      </c>
      <c r="AM78" s="49">
        <f t="shared" si="9"/>
        <v>0</v>
      </c>
      <c r="AN78" s="49">
        <f t="shared" si="10"/>
        <v>0</v>
      </c>
      <c r="AO78" s="53">
        <f t="shared" si="11"/>
        <v>0</v>
      </c>
    </row>
    <row r="79" spans="1:41" ht="21" customHeight="1" x14ac:dyDescent="0.25">
      <c r="A79" s="46">
        <f>IF('Data Karyawan'!A74&lt;&gt;"", 'Data Karyawan'!A74, "")</f>
        <v>71</v>
      </c>
      <c r="B79" s="46">
        <f>IF('Data Karyawan'!B74&lt;&gt;"", 'Data Karyawan'!B74, "")</f>
        <v>80189</v>
      </c>
      <c r="C79" s="47" t="str">
        <f>IF('Data Karyawan'!C74&lt;&gt;"", 'Data Karyawan'!C74, "")</f>
        <v>Rizky Nindi Bunga H</v>
      </c>
      <c r="D79" s="46" t="str">
        <f>IF('Data Karyawan'!D74&lt;&gt;"", 'Data Karyawan'!D74, "")</f>
        <v>A1</v>
      </c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9">
        <f t="shared" si="6"/>
        <v>0</v>
      </c>
      <c r="AK79" s="49">
        <f t="shared" si="7"/>
        <v>0</v>
      </c>
      <c r="AL79" s="49">
        <f t="shared" si="8"/>
        <v>0</v>
      </c>
      <c r="AM79" s="49">
        <f t="shared" si="9"/>
        <v>0</v>
      </c>
      <c r="AN79" s="49">
        <f t="shared" si="10"/>
        <v>0</v>
      </c>
      <c r="AO79" s="53">
        <f t="shared" si="11"/>
        <v>0</v>
      </c>
    </row>
    <row r="80" spans="1:41" ht="21" customHeight="1" x14ac:dyDescent="0.25">
      <c r="A80" s="46">
        <f>IF('Data Karyawan'!A75&lt;&gt;"", 'Data Karyawan'!A75, "")</f>
        <v>72</v>
      </c>
      <c r="B80" s="46">
        <f>IF('Data Karyawan'!B75&lt;&gt;"", 'Data Karyawan'!B75, "")</f>
        <v>80190</v>
      </c>
      <c r="C80" s="47" t="str">
        <f>IF('Data Karyawan'!C75&lt;&gt;"", 'Data Karyawan'!C75, "")</f>
        <v>Tasya Alicya</v>
      </c>
      <c r="D80" s="46" t="str">
        <f>IF('Data Karyawan'!D75&lt;&gt;"", 'Data Karyawan'!D75, "")</f>
        <v>A1</v>
      </c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9">
        <f t="shared" si="6"/>
        <v>0</v>
      </c>
      <c r="AK80" s="49">
        <f t="shared" si="7"/>
        <v>0</v>
      </c>
      <c r="AL80" s="49">
        <f t="shared" si="8"/>
        <v>0</v>
      </c>
      <c r="AM80" s="49">
        <f t="shared" si="9"/>
        <v>0</v>
      </c>
      <c r="AN80" s="49">
        <f t="shared" si="10"/>
        <v>0</v>
      </c>
      <c r="AO80" s="53">
        <f t="shared" si="11"/>
        <v>0</v>
      </c>
    </row>
    <row r="81" spans="1:41" ht="21" customHeight="1" x14ac:dyDescent="0.25">
      <c r="A81" s="46">
        <f>IF('Data Karyawan'!A76&lt;&gt;"", 'Data Karyawan'!A76, "")</f>
        <v>73</v>
      </c>
      <c r="B81" s="46">
        <f>IF('Data Karyawan'!B76&lt;&gt;"", 'Data Karyawan'!B76, "")</f>
        <v>80191</v>
      </c>
      <c r="C81" s="47" t="str">
        <f>IF('Data Karyawan'!C76&lt;&gt;"", 'Data Karyawan'!C76, "")</f>
        <v>Zaskia Ayundhira</v>
      </c>
      <c r="D81" s="46" t="str">
        <f>IF('Data Karyawan'!D76&lt;&gt;"", 'Data Karyawan'!D76, "")</f>
        <v>A1</v>
      </c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9">
        <f t="shared" si="6"/>
        <v>0</v>
      </c>
      <c r="AK81" s="49">
        <f t="shared" si="7"/>
        <v>0</v>
      </c>
      <c r="AL81" s="49">
        <f t="shared" si="8"/>
        <v>0</v>
      </c>
      <c r="AM81" s="49">
        <f t="shared" si="9"/>
        <v>0</v>
      </c>
      <c r="AN81" s="49">
        <f t="shared" si="10"/>
        <v>0</v>
      </c>
      <c r="AO81" s="53">
        <f t="shared" si="11"/>
        <v>0</v>
      </c>
    </row>
    <row r="82" spans="1:41" ht="21" customHeight="1" x14ac:dyDescent="0.25">
      <c r="A82" s="46">
        <f>IF('Data Karyawan'!A77&lt;&gt;"", 'Data Karyawan'!A77, "")</f>
        <v>74</v>
      </c>
      <c r="B82" s="46">
        <f>IF('Data Karyawan'!B77&lt;&gt;"", 'Data Karyawan'!B77, "")</f>
        <v>80194</v>
      </c>
      <c r="C82" s="47" t="str">
        <f>IF('Data Karyawan'!C77&lt;&gt;"", 'Data Karyawan'!C77, "")</f>
        <v>Elvia Tri C.</v>
      </c>
      <c r="D82" s="46" t="str">
        <f>IF('Data Karyawan'!D77&lt;&gt;"", 'Data Karyawan'!D77, "")</f>
        <v>A1</v>
      </c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9">
        <f t="shared" si="6"/>
        <v>0</v>
      </c>
      <c r="AK82" s="49">
        <f t="shared" si="7"/>
        <v>0</v>
      </c>
      <c r="AL82" s="49">
        <f t="shared" si="8"/>
        <v>0</v>
      </c>
      <c r="AM82" s="49">
        <f t="shared" si="9"/>
        <v>0</v>
      </c>
      <c r="AN82" s="49">
        <f t="shared" si="10"/>
        <v>0</v>
      </c>
      <c r="AO82" s="53">
        <f t="shared" si="11"/>
        <v>0</v>
      </c>
    </row>
    <row r="83" spans="1:41" ht="21" customHeight="1" x14ac:dyDescent="0.25">
      <c r="A83" s="46">
        <f>IF('Data Karyawan'!A78&lt;&gt;"", 'Data Karyawan'!A78, "")</f>
        <v>75</v>
      </c>
      <c r="B83" s="46">
        <f>IF('Data Karyawan'!B78&lt;&gt;"", 'Data Karyawan'!B78, "")</f>
        <v>80219</v>
      </c>
      <c r="C83" s="47" t="str">
        <f>IF('Data Karyawan'!C78&lt;&gt;"", 'Data Karyawan'!C78, "")</f>
        <v>Dinda Khoirunnisak</v>
      </c>
      <c r="D83" s="46" t="str">
        <f>IF('Data Karyawan'!D78&lt;&gt;"", 'Data Karyawan'!D78, "")</f>
        <v>A1</v>
      </c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9">
        <f t="shared" si="6"/>
        <v>0</v>
      </c>
      <c r="AK83" s="49">
        <f t="shared" si="7"/>
        <v>0</v>
      </c>
      <c r="AL83" s="49">
        <f t="shared" si="8"/>
        <v>0</v>
      </c>
      <c r="AM83" s="49">
        <f t="shared" si="9"/>
        <v>0</v>
      </c>
      <c r="AN83" s="49">
        <f t="shared" si="10"/>
        <v>0</v>
      </c>
      <c r="AO83" s="53">
        <f t="shared" si="11"/>
        <v>0</v>
      </c>
    </row>
    <row r="84" spans="1:41" ht="21" customHeight="1" x14ac:dyDescent="0.25">
      <c r="A84" s="46">
        <f>IF('Data Karyawan'!A79&lt;&gt;"", 'Data Karyawan'!A79, "")</f>
        <v>76</v>
      </c>
      <c r="B84" s="46" t="str">
        <f>IF('Data Karyawan'!B79&lt;&gt;"", 'Data Karyawan'!B79, "")</f>
        <v/>
      </c>
      <c r="C84" s="47" t="str">
        <f>IF('Data Karyawan'!C79&lt;&gt;"", 'Data Karyawan'!C79, "")</f>
        <v>Nafiela Rizky R</v>
      </c>
      <c r="D84" s="46" t="str">
        <f>IF('Data Karyawan'!D79&lt;&gt;"", 'Data Karyawan'!D79, "")</f>
        <v>A1</v>
      </c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9">
        <f t="shared" si="6"/>
        <v>0</v>
      </c>
      <c r="AK84" s="49">
        <f t="shared" si="7"/>
        <v>0</v>
      </c>
      <c r="AL84" s="49">
        <f t="shared" si="8"/>
        <v>0</v>
      </c>
      <c r="AM84" s="49">
        <f t="shared" si="9"/>
        <v>0</v>
      </c>
      <c r="AN84" s="49">
        <f t="shared" si="10"/>
        <v>0</v>
      </c>
      <c r="AO84" s="53">
        <f t="shared" si="11"/>
        <v>0</v>
      </c>
    </row>
    <row r="85" spans="1:41" ht="21" customHeight="1" x14ac:dyDescent="0.25">
      <c r="A85" s="46">
        <f>IF('Data Karyawan'!A80&lt;&gt;"", 'Data Karyawan'!A80, "")</f>
        <v>77</v>
      </c>
      <c r="B85" s="46">
        <f>IF('Data Karyawan'!B80&lt;&gt;"", 'Data Karyawan'!B80, "")</f>
        <v>80220</v>
      </c>
      <c r="C85" s="47" t="str">
        <f>IF('Data Karyawan'!C80&lt;&gt;"", 'Data Karyawan'!C80, "")</f>
        <v>Cinta Murni Hidayati</v>
      </c>
      <c r="D85" s="46" t="str">
        <f>IF('Data Karyawan'!D80&lt;&gt;"", 'Data Karyawan'!D80, "")</f>
        <v>A1</v>
      </c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9">
        <f t="shared" si="6"/>
        <v>0</v>
      </c>
      <c r="AK85" s="49">
        <f t="shared" si="7"/>
        <v>0</v>
      </c>
      <c r="AL85" s="49">
        <f t="shared" si="8"/>
        <v>0</v>
      </c>
      <c r="AM85" s="49">
        <f t="shared" si="9"/>
        <v>0</v>
      </c>
      <c r="AN85" s="49">
        <f t="shared" si="10"/>
        <v>0</v>
      </c>
      <c r="AO85" s="53">
        <f t="shared" si="11"/>
        <v>0</v>
      </c>
    </row>
    <row r="86" spans="1:41" ht="21" customHeight="1" x14ac:dyDescent="0.25">
      <c r="A86" s="46">
        <f>IF('Data Karyawan'!A81&lt;&gt;"", 'Data Karyawan'!A81, "")</f>
        <v>78</v>
      </c>
      <c r="B86" s="46" t="str">
        <f>IF('Data Karyawan'!B81&lt;&gt;"", 'Data Karyawan'!B81, "")</f>
        <v/>
      </c>
      <c r="C86" s="47" t="str">
        <f>IF('Data Karyawan'!C81&lt;&gt;"", 'Data Karyawan'!C81, "")</f>
        <v>Sheyra Kurnia F</v>
      </c>
      <c r="D86" s="46" t="str">
        <f>IF('Data Karyawan'!D81&lt;&gt;"", 'Data Karyawan'!D81, "")</f>
        <v>A1</v>
      </c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9">
        <f t="shared" si="6"/>
        <v>0</v>
      </c>
      <c r="AK86" s="49">
        <f t="shared" si="7"/>
        <v>0</v>
      </c>
      <c r="AL86" s="49">
        <f t="shared" si="8"/>
        <v>0</v>
      </c>
      <c r="AM86" s="49">
        <f t="shared" si="9"/>
        <v>0</v>
      </c>
      <c r="AN86" s="49">
        <f t="shared" si="10"/>
        <v>0</v>
      </c>
      <c r="AO86" s="53">
        <f t="shared" si="11"/>
        <v>0</v>
      </c>
    </row>
    <row r="87" spans="1:41" ht="21" customHeight="1" x14ac:dyDescent="0.25">
      <c r="A87" s="46">
        <f>IF('Data Karyawan'!A82&lt;&gt;"", 'Data Karyawan'!A82, "")</f>
        <v>79</v>
      </c>
      <c r="B87" s="46">
        <f>IF('Data Karyawan'!B82&lt;&gt;"", 'Data Karyawan'!B82, "")</f>
        <v>80221</v>
      </c>
      <c r="C87" s="47" t="str">
        <f>IF('Data Karyawan'!C82&lt;&gt;"", 'Data Karyawan'!C82, "")</f>
        <v>Iva Nur Faidah</v>
      </c>
      <c r="D87" s="46" t="str">
        <f>IF('Data Karyawan'!D82&lt;&gt;"", 'Data Karyawan'!D82, "")</f>
        <v>A1</v>
      </c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9">
        <f t="shared" si="6"/>
        <v>0</v>
      </c>
      <c r="AK87" s="49">
        <f t="shared" si="7"/>
        <v>0</v>
      </c>
      <c r="AL87" s="49">
        <f t="shared" si="8"/>
        <v>0</v>
      </c>
      <c r="AM87" s="49">
        <f t="shared" si="9"/>
        <v>0</v>
      </c>
      <c r="AN87" s="49">
        <f t="shared" si="10"/>
        <v>0</v>
      </c>
      <c r="AO87" s="53">
        <f t="shared" si="11"/>
        <v>0</v>
      </c>
    </row>
    <row r="88" spans="1:41" ht="21" customHeight="1" x14ac:dyDescent="0.25">
      <c r="A88" s="46">
        <f>IF('Data Karyawan'!A83&lt;&gt;"", 'Data Karyawan'!A83, "")</f>
        <v>80</v>
      </c>
      <c r="B88" s="46">
        <f>IF('Data Karyawan'!B83&lt;&gt;"", 'Data Karyawan'!B83, "")</f>
        <v>80222</v>
      </c>
      <c r="C88" s="47" t="str">
        <f>IF('Data Karyawan'!C83&lt;&gt;"", 'Data Karyawan'!C83, "")</f>
        <v>Dela Oktavia Rahma</v>
      </c>
      <c r="D88" s="46" t="str">
        <f>IF('Data Karyawan'!D83&lt;&gt;"", 'Data Karyawan'!D83, "")</f>
        <v>A1</v>
      </c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9">
        <f t="shared" si="6"/>
        <v>0</v>
      </c>
      <c r="AK88" s="49">
        <f t="shared" si="7"/>
        <v>0</v>
      </c>
      <c r="AL88" s="49">
        <f t="shared" si="8"/>
        <v>0</v>
      </c>
      <c r="AM88" s="49">
        <f t="shared" si="9"/>
        <v>0</v>
      </c>
      <c r="AN88" s="49">
        <f t="shared" si="10"/>
        <v>0</v>
      </c>
      <c r="AO88" s="53">
        <f t="shared" si="11"/>
        <v>0</v>
      </c>
    </row>
    <row r="89" spans="1:41" ht="21" customHeight="1" x14ac:dyDescent="0.25">
      <c r="A89" s="46">
        <f>IF('Data Karyawan'!A84&lt;&gt;"", 'Data Karyawan'!A84, "")</f>
        <v>81</v>
      </c>
      <c r="B89" s="46">
        <f>IF('Data Karyawan'!B84&lt;&gt;"", 'Data Karyawan'!B84, "")</f>
        <v>80223</v>
      </c>
      <c r="C89" s="47" t="str">
        <f>IF('Data Karyawan'!C84&lt;&gt;"", 'Data Karyawan'!C84, "")</f>
        <v>Elsa Esiana P</v>
      </c>
      <c r="D89" s="46" t="str">
        <f>IF('Data Karyawan'!D84&lt;&gt;"", 'Data Karyawan'!D84, "")</f>
        <v>A1</v>
      </c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9">
        <f t="shared" si="6"/>
        <v>0</v>
      </c>
      <c r="AK89" s="49">
        <f t="shared" si="7"/>
        <v>0</v>
      </c>
      <c r="AL89" s="49">
        <f t="shared" si="8"/>
        <v>0</v>
      </c>
      <c r="AM89" s="49">
        <f t="shared" si="9"/>
        <v>0</v>
      </c>
      <c r="AN89" s="49">
        <f t="shared" si="10"/>
        <v>0</v>
      </c>
      <c r="AO89" s="53">
        <f t="shared" si="11"/>
        <v>0</v>
      </c>
    </row>
    <row r="90" spans="1:41" ht="21" customHeight="1" x14ac:dyDescent="0.25">
      <c r="A90" s="46">
        <f>IF('Data Karyawan'!A85&lt;&gt;"", 'Data Karyawan'!A85, "")</f>
        <v>82</v>
      </c>
      <c r="B90" s="46">
        <f>IF('Data Karyawan'!B85&lt;&gt;"", 'Data Karyawan'!B85, "")</f>
        <v>80224</v>
      </c>
      <c r="C90" s="47" t="str">
        <f>IF('Data Karyawan'!C85&lt;&gt;"", 'Data Karyawan'!C85, "")</f>
        <v>Pitanti Wahyu</v>
      </c>
      <c r="D90" s="46" t="str">
        <f>IF('Data Karyawan'!D85&lt;&gt;"", 'Data Karyawan'!D85, "")</f>
        <v>A1</v>
      </c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9">
        <f t="shared" si="6"/>
        <v>0</v>
      </c>
      <c r="AK90" s="49">
        <f t="shared" si="7"/>
        <v>0</v>
      </c>
      <c r="AL90" s="49">
        <f t="shared" si="8"/>
        <v>0</v>
      </c>
      <c r="AM90" s="49">
        <f t="shared" si="9"/>
        <v>0</v>
      </c>
      <c r="AN90" s="49">
        <f t="shared" si="10"/>
        <v>0</v>
      </c>
      <c r="AO90" s="53">
        <f t="shared" si="11"/>
        <v>0</v>
      </c>
    </row>
    <row r="91" spans="1:41" ht="21" customHeight="1" x14ac:dyDescent="0.25">
      <c r="A91" s="46">
        <f>IF('Data Karyawan'!A86&lt;&gt;"", 'Data Karyawan'!A86, "")</f>
        <v>83</v>
      </c>
      <c r="B91" s="46">
        <f>IF('Data Karyawan'!B86&lt;&gt;"", 'Data Karyawan'!B86, "")</f>
        <v>80225</v>
      </c>
      <c r="C91" s="47" t="str">
        <f>IF('Data Karyawan'!C86&lt;&gt;"", 'Data Karyawan'!C86, "")</f>
        <v>Rochma Ayu Lestari</v>
      </c>
      <c r="D91" s="46" t="str">
        <f>IF('Data Karyawan'!D86&lt;&gt;"", 'Data Karyawan'!D86, "")</f>
        <v>A1</v>
      </c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9">
        <f t="shared" si="6"/>
        <v>0</v>
      </c>
      <c r="AK91" s="49">
        <f t="shared" si="7"/>
        <v>0</v>
      </c>
      <c r="AL91" s="49">
        <f t="shared" si="8"/>
        <v>0</v>
      </c>
      <c r="AM91" s="49">
        <f t="shared" si="9"/>
        <v>0</v>
      </c>
      <c r="AN91" s="49">
        <f t="shared" si="10"/>
        <v>0</v>
      </c>
      <c r="AO91" s="53">
        <f t="shared" si="11"/>
        <v>0</v>
      </c>
    </row>
    <row r="92" spans="1:41" ht="21" customHeight="1" x14ac:dyDescent="0.25">
      <c r="A92" s="46">
        <f>IF('Data Karyawan'!A87&lt;&gt;"", 'Data Karyawan'!A87, "")</f>
        <v>84</v>
      </c>
      <c r="B92" s="46">
        <f>IF('Data Karyawan'!B87&lt;&gt;"", 'Data Karyawan'!B87, "")</f>
        <v>80226</v>
      </c>
      <c r="C92" s="47" t="str">
        <f>IF('Data Karyawan'!C87&lt;&gt;"", 'Data Karyawan'!C87, "")</f>
        <v>Febriana Nova C</v>
      </c>
      <c r="D92" s="46" t="str">
        <f>IF('Data Karyawan'!D87&lt;&gt;"", 'Data Karyawan'!D87, "")</f>
        <v>A1</v>
      </c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9">
        <f t="shared" si="6"/>
        <v>0</v>
      </c>
      <c r="AK92" s="49">
        <f t="shared" si="7"/>
        <v>0</v>
      </c>
      <c r="AL92" s="49">
        <f t="shared" si="8"/>
        <v>0</v>
      </c>
      <c r="AM92" s="49">
        <f t="shared" si="9"/>
        <v>0</v>
      </c>
      <c r="AN92" s="49">
        <f t="shared" si="10"/>
        <v>0</v>
      </c>
      <c r="AO92" s="53">
        <f t="shared" si="11"/>
        <v>0</v>
      </c>
    </row>
    <row r="93" spans="1:41" ht="21" customHeight="1" x14ac:dyDescent="0.25">
      <c r="A93" s="46">
        <f>IF('Data Karyawan'!A88&lt;&gt;"", 'Data Karyawan'!A88, "")</f>
        <v>85</v>
      </c>
      <c r="B93" s="46">
        <f>IF('Data Karyawan'!B88&lt;&gt;"", 'Data Karyawan'!B88, "")</f>
        <v>80227</v>
      </c>
      <c r="C93" s="47" t="str">
        <f>IF('Data Karyawan'!C88&lt;&gt;"", 'Data Karyawan'!C88, "")</f>
        <v>Silvia Widyanti</v>
      </c>
      <c r="D93" s="46" t="str">
        <f>IF('Data Karyawan'!D88&lt;&gt;"", 'Data Karyawan'!D88, "")</f>
        <v>A1</v>
      </c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9">
        <f t="shared" si="6"/>
        <v>0</v>
      </c>
      <c r="AK93" s="49">
        <f t="shared" si="7"/>
        <v>0</v>
      </c>
      <c r="AL93" s="49">
        <f t="shared" si="8"/>
        <v>0</v>
      </c>
      <c r="AM93" s="49">
        <f t="shared" si="9"/>
        <v>0</v>
      </c>
      <c r="AN93" s="49">
        <f t="shared" si="10"/>
        <v>0</v>
      </c>
      <c r="AO93" s="53">
        <f t="shared" si="11"/>
        <v>0</v>
      </c>
    </row>
    <row r="94" spans="1:41" ht="21" customHeight="1" x14ac:dyDescent="0.25">
      <c r="A94" s="46">
        <f>IF('Data Karyawan'!A89&lt;&gt;"", 'Data Karyawan'!A89, "")</f>
        <v>86</v>
      </c>
      <c r="B94" s="46" t="str">
        <f>IF('Data Karyawan'!B89&lt;&gt;"", 'Data Karyawan'!B89, "")</f>
        <v/>
      </c>
      <c r="C94" s="47" t="str">
        <f>IF('Data Karyawan'!C89&lt;&gt;"", 'Data Karyawan'!C89, "")</f>
        <v xml:space="preserve">	Titik Susanti</v>
      </c>
      <c r="D94" s="46" t="str">
        <f>IF('Data Karyawan'!D89&lt;&gt;"", 'Data Karyawan'!D89, "")</f>
        <v>A1</v>
      </c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9">
        <f t="shared" si="6"/>
        <v>0</v>
      </c>
      <c r="AK94" s="49">
        <f t="shared" si="7"/>
        <v>0</v>
      </c>
      <c r="AL94" s="49">
        <f t="shared" si="8"/>
        <v>0</v>
      </c>
      <c r="AM94" s="49">
        <f t="shared" si="9"/>
        <v>0</v>
      </c>
      <c r="AN94" s="49">
        <f t="shared" si="10"/>
        <v>0</v>
      </c>
      <c r="AO94" s="53">
        <f t="shared" si="11"/>
        <v>0</v>
      </c>
    </row>
    <row r="95" spans="1:41" ht="21" customHeight="1" x14ac:dyDescent="0.25">
      <c r="A95" s="46">
        <f>IF('Data Karyawan'!A90&lt;&gt;"", 'Data Karyawan'!A90, "")</f>
        <v>87</v>
      </c>
      <c r="B95" s="46">
        <f>IF('Data Karyawan'!B90&lt;&gt;"", 'Data Karyawan'!B90, "")</f>
        <v>80228</v>
      </c>
      <c r="C95" s="47" t="str">
        <f>IF('Data Karyawan'!C90&lt;&gt;"", 'Data Karyawan'!C90, "")</f>
        <v>Desi Lestari</v>
      </c>
      <c r="D95" s="46" t="str">
        <f>IF('Data Karyawan'!D90&lt;&gt;"", 'Data Karyawan'!D90, "")</f>
        <v>A1</v>
      </c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9">
        <f t="shared" si="6"/>
        <v>0</v>
      </c>
      <c r="AK95" s="49">
        <f t="shared" si="7"/>
        <v>0</v>
      </c>
      <c r="AL95" s="49">
        <f t="shared" si="8"/>
        <v>0</v>
      </c>
      <c r="AM95" s="49">
        <f t="shared" si="9"/>
        <v>0</v>
      </c>
      <c r="AN95" s="49">
        <f t="shared" si="10"/>
        <v>0</v>
      </c>
      <c r="AO95" s="53">
        <f t="shared" si="11"/>
        <v>0</v>
      </c>
    </row>
    <row r="96" spans="1:41" ht="21" customHeight="1" x14ac:dyDescent="0.25">
      <c r="A96" s="46">
        <f>IF('Data Karyawan'!A91&lt;&gt;"", 'Data Karyawan'!A91, "")</f>
        <v>88</v>
      </c>
      <c r="B96" s="46" t="str">
        <f>IF('Data Karyawan'!B91&lt;&gt;"", 'Data Karyawan'!B91, "")</f>
        <v/>
      </c>
      <c r="C96" s="47" t="str">
        <f>IF('Data Karyawan'!C91&lt;&gt;"", 'Data Karyawan'!C91, "")</f>
        <v>Ika Sriwahyuni</v>
      </c>
      <c r="D96" s="46" t="str">
        <f>IF('Data Karyawan'!D91&lt;&gt;"", 'Data Karyawan'!D91, "")</f>
        <v>A1</v>
      </c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9">
        <f t="shared" si="6"/>
        <v>0</v>
      </c>
      <c r="AK96" s="49">
        <f t="shared" si="7"/>
        <v>0</v>
      </c>
      <c r="AL96" s="49">
        <f t="shared" si="8"/>
        <v>0</v>
      </c>
      <c r="AM96" s="49">
        <f t="shared" si="9"/>
        <v>0</v>
      </c>
      <c r="AN96" s="49">
        <f t="shared" si="10"/>
        <v>0</v>
      </c>
      <c r="AO96" s="53">
        <f t="shared" si="11"/>
        <v>0</v>
      </c>
    </row>
    <row r="97" spans="1:41" ht="21" customHeight="1" x14ac:dyDescent="0.25">
      <c r="A97" s="46">
        <f>IF('Data Karyawan'!A92&lt;&gt;"", 'Data Karyawan'!A92, "")</f>
        <v>89</v>
      </c>
      <c r="B97" s="46">
        <f>IF('Data Karyawan'!B92&lt;&gt;"", 'Data Karyawan'!B92, "")</f>
        <v>80241</v>
      </c>
      <c r="C97" s="47" t="str">
        <f>IF('Data Karyawan'!C92&lt;&gt;"", 'Data Karyawan'!C92, "")</f>
        <v>Citra Alamanda</v>
      </c>
      <c r="D97" s="46" t="str">
        <f>IF('Data Karyawan'!D92&lt;&gt;"", 'Data Karyawan'!D92, "")</f>
        <v>A1</v>
      </c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9">
        <f t="shared" si="6"/>
        <v>0</v>
      </c>
      <c r="AK97" s="49">
        <f t="shared" si="7"/>
        <v>0</v>
      </c>
      <c r="AL97" s="49">
        <f t="shared" si="8"/>
        <v>0</v>
      </c>
      <c r="AM97" s="49">
        <f t="shared" si="9"/>
        <v>0</v>
      </c>
      <c r="AN97" s="49">
        <f t="shared" si="10"/>
        <v>0</v>
      </c>
      <c r="AO97" s="53">
        <f t="shared" si="11"/>
        <v>0</v>
      </c>
    </row>
    <row r="98" spans="1:41" ht="21" customHeight="1" x14ac:dyDescent="0.25">
      <c r="A98" s="46">
        <f>IF('Data Karyawan'!A93&lt;&gt;"", 'Data Karyawan'!A93, "")</f>
        <v>90</v>
      </c>
      <c r="B98" s="46" t="str">
        <f>IF('Data Karyawan'!B93&lt;&gt;"", 'Data Karyawan'!B93, "")</f>
        <v/>
      </c>
      <c r="C98" s="47" t="str">
        <f>IF('Data Karyawan'!C93&lt;&gt;"", 'Data Karyawan'!C93, "")</f>
        <v>Usfatun Uffanisa</v>
      </c>
      <c r="D98" s="46" t="str">
        <f>IF('Data Karyawan'!D93&lt;&gt;"", 'Data Karyawan'!D93, "")</f>
        <v>A1</v>
      </c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9">
        <f t="shared" si="6"/>
        <v>0</v>
      </c>
      <c r="AK98" s="49">
        <f t="shared" si="7"/>
        <v>0</v>
      </c>
      <c r="AL98" s="49">
        <f t="shared" si="8"/>
        <v>0</v>
      </c>
      <c r="AM98" s="49">
        <f t="shared" si="9"/>
        <v>0</v>
      </c>
      <c r="AN98" s="49">
        <f t="shared" si="10"/>
        <v>0</v>
      </c>
      <c r="AO98" s="53">
        <f t="shared" si="11"/>
        <v>0</v>
      </c>
    </row>
    <row r="99" spans="1:41" ht="21" customHeight="1" x14ac:dyDescent="0.25">
      <c r="A99" s="46">
        <f>IF('Data Karyawan'!A94&lt;&gt;"", 'Data Karyawan'!A94, "")</f>
        <v>91</v>
      </c>
      <c r="B99" s="46" t="str">
        <f>IF('Data Karyawan'!B94&lt;&gt;"", 'Data Karyawan'!B94, "")</f>
        <v/>
      </c>
      <c r="C99" s="47" t="str">
        <f>IF('Data Karyawan'!C94&lt;&gt;"", 'Data Karyawan'!C94, "")</f>
        <v>Nova Riskia Indriani</v>
      </c>
      <c r="D99" s="46" t="str">
        <f>IF('Data Karyawan'!D94&lt;&gt;"", 'Data Karyawan'!D94, "")</f>
        <v>A1</v>
      </c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9">
        <f t="shared" si="6"/>
        <v>0</v>
      </c>
      <c r="AK99" s="49">
        <f t="shared" si="7"/>
        <v>0</v>
      </c>
      <c r="AL99" s="49">
        <f t="shared" si="8"/>
        <v>0</v>
      </c>
      <c r="AM99" s="49">
        <f t="shared" si="9"/>
        <v>0</v>
      </c>
      <c r="AN99" s="49">
        <f t="shared" si="10"/>
        <v>0</v>
      </c>
      <c r="AO99" s="53">
        <f t="shared" si="11"/>
        <v>0</v>
      </c>
    </row>
    <row r="100" spans="1:41" ht="21" customHeight="1" x14ac:dyDescent="0.25">
      <c r="A100" s="46">
        <f>IF('Data Karyawan'!A95&lt;&gt;"", 'Data Karyawan'!A95, "")</f>
        <v>92</v>
      </c>
      <c r="B100" s="46" t="str">
        <f>IF('Data Karyawan'!B95&lt;&gt;"", 'Data Karyawan'!B95, "")</f>
        <v/>
      </c>
      <c r="C100" s="47" t="str">
        <f>IF('Data Karyawan'!C95&lt;&gt;"", 'Data Karyawan'!C95, "")</f>
        <v>Siti Hanifah</v>
      </c>
      <c r="D100" s="46" t="str">
        <f>IF('Data Karyawan'!D95&lt;&gt;"", 'Data Karyawan'!D95, "")</f>
        <v>A1</v>
      </c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9">
        <f t="shared" si="6"/>
        <v>0</v>
      </c>
      <c r="AK100" s="49">
        <f t="shared" si="7"/>
        <v>0</v>
      </c>
      <c r="AL100" s="49">
        <f t="shared" si="8"/>
        <v>0</v>
      </c>
      <c r="AM100" s="49">
        <f t="shared" si="9"/>
        <v>0</v>
      </c>
      <c r="AN100" s="49">
        <f t="shared" si="10"/>
        <v>0</v>
      </c>
      <c r="AO100" s="53">
        <f t="shared" si="11"/>
        <v>0</v>
      </c>
    </row>
    <row r="101" spans="1:41" ht="21" customHeight="1" x14ac:dyDescent="0.25">
      <c r="A101" s="46">
        <f>IF('Data Karyawan'!A96&lt;&gt;"", 'Data Karyawan'!A96, "")</f>
        <v>93</v>
      </c>
      <c r="B101" s="46" t="str">
        <f>IF('Data Karyawan'!B96&lt;&gt;"", 'Data Karyawan'!B96, "")</f>
        <v/>
      </c>
      <c r="C101" s="47" t="str">
        <f>IF('Data Karyawan'!C96&lt;&gt;"", 'Data Karyawan'!C96, "")</f>
        <v>Desi Arum Sari</v>
      </c>
      <c r="D101" s="46" t="str">
        <f>IF('Data Karyawan'!D96&lt;&gt;"", 'Data Karyawan'!D96, "")</f>
        <v>A1</v>
      </c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9">
        <f t="shared" si="6"/>
        <v>0</v>
      </c>
      <c r="AK101" s="49">
        <f t="shared" si="7"/>
        <v>0</v>
      </c>
      <c r="AL101" s="49">
        <f t="shared" si="8"/>
        <v>0</v>
      </c>
      <c r="AM101" s="49">
        <f t="shared" si="9"/>
        <v>0</v>
      </c>
      <c r="AN101" s="49">
        <f t="shared" si="10"/>
        <v>0</v>
      </c>
      <c r="AO101" s="53">
        <f t="shared" si="11"/>
        <v>0</v>
      </c>
    </row>
    <row r="102" spans="1:41" ht="21" customHeight="1" x14ac:dyDescent="0.25">
      <c r="A102" s="46">
        <f>IF('Data Karyawan'!A97&lt;&gt;"", 'Data Karyawan'!A97, "")</f>
        <v>94</v>
      </c>
      <c r="B102" s="46" t="str">
        <f>IF('Data Karyawan'!B97&lt;&gt;"", 'Data Karyawan'!B97, "")</f>
        <v/>
      </c>
      <c r="C102" s="47" t="str">
        <f>IF('Data Karyawan'!C97&lt;&gt;"", 'Data Karyawan'!C97, "")</f>
        <v>Zuke Liana</v>
      </c>
      <c r="D102" s="46" t="str">
        <f>IF('Data Karyawan'!D97&lt;&gt;"", 'Data Karyawan'!D97, "")</f>
        <v>A1</v>
      </c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9">
        <f t="shared" si="6"/>
        <v>0</v>
      </c>
      <c r="AK102" s="49">
        <f t="shared" si="7"/>
        <v>0</v>
      </c>
      <c r="AL102" s="49">
        <f t="shared" si="8"/>
        <v>0</v>
      </c>
      <c r="AM102" s="49">
        <f t="shared" si="9"/>
        <v>0</v>
      </c>
      <c r="AN102" s="49">
        <f t="shared" si="10"/>
        <v>0</v>
      </c>
      <c r="AO102" s="53">
        <f t="shared" si="11"/>
        <v>0</v>
      </c>
    </row>
    <row r="103" spans="1:41" ht="21" customHeight="1" x14ac:dyDescent="0.25">
      <c r="A103" s="46">
        <f>IF('Data Karyawan'!A98&lt;&gt;"", 'Data Karyawan'!A98, "")</f>
        <v>95</v>
      </c>
      <c r="B103" s="46">
        <f>IF('Data Karyawan'!B98&lt;&gt;"", 'Data Karyawan'!B98, "")</f>
        <v>80264</v>
      </c>
      <c r="C103" s="47" t="str">
        <f>IF('Data Karyawan'!C98&lt;&gt;"", 'Data Karyawan'!C98, "")</f>
        <v>Putri Anggraini</v>
      </c>
      <c r="D103" s="46" t="str">
        <f>IF('Data Karyawan'!D98&lt;&gt;"", 'Data Karyawan'!D98, "")</f>
        <v>A1</v>
      </c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9">
        <f t="shared" si="6"/>
        <v>0</v>
      </c>
      <c r="AK103" s="49">
        <f t="shared" si="7"/>
        <v>0</v>
      </c>
      <c r="AL103" s="49">
        <f t="shared" si="8"/>
        <v>0</v>
      </c>
      <c r="AM103" s="49">
        <f t="shared" si="9"/>
        <v>0</v>
      </c>
      <c r="AN103" s="49">
        <f t="shared" si="10"/>
        <v>0</v>
      </c>
      <c r="AO103" s="53">
        <f t="shared" si="11"/>
        <v>0</v>
      </c>
    </row>
    <row r="104" spans="1:41" ht="21" customHeight="1" x14ac:dyDescent="0.25">
      <c r="A104" s="46">
        <f>IF('Data Karyawan'!A99&lt;&gt;"", 'Data Karyawan'!A99, "")</f>
        <v>96</v>
      </c>
      <c r="B104" s="46">
        <f>IF('Data Karyawan'!B99&lt;&gt;"", 'Data Karyawan'!B99, "")</f>
        <v>80266</v>
      </c>
      <c r="C104" s="47" t="str">
        <f>IF('Data Karyawan'!C99&lt;&gt;"", 'Data Karyawan'!C99, "")</f>
        <v>Siti Zumaroh</v>
      </c>
      <c r="D104" s="46" t="str">
        <f>IF('Data Karyawan'!D99&lt;&gt;"", 'Data Karyawan'!D99, "")</f>
        <v>A1</v>
      </c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9">
        <f t="shared" si="6"/>
        <v>0</v>
      </c>
      <c r="AK104" s="49">
        <f t="shared" si="7"/>
        <v>0</v>
      </c>
      <c r="AL104" s="49">
        <f t="shared" si="8"/>
        <v>0</v>
      </c>
      <c r="AM104" s="49">
        <f t="shared" si="9"/>
        <v>0</v>
      </c>
      <c r="AN104" s="49">
        <f t="shared" si="10"/>
        <v>0</v>
      </c>
      <c r="AO104" s="53">
        <f t="shared" si="11"/>
        <v>0</v>
      </c>
    </row>
    <row r="105" spans="1:41" ht="21" customHeight="1" x14ac:dyDescent="0.25">
      <c r="A105" s="46">
        <f>IF('Data Karyawan'!A100&lt;&gt;"", 'Data Karyawan'!A100, "")</f>
        <v>97</v>
      </c>
      <c r="B105" s="46">
        <f>IF('Data Karyawan'!B100&lt;&gt;"", 'Data Karyawan'!B100, "")</f>
        <v>80265</v>
      </c>
      <c r="C105" s="47" t="str">
        <f>IF('Data Karyawan'!C100&lt;&gt;"", 'Data Karyawan'!C100, "")</f>
        <v>Adinda Nurul Izzati</v>
      </c>
      <c r="D105" s="46" t="str">
        <f>IF('Data Karyawan'!D100&lt;&gt;"", 'Data Karyawan'!D100, "")</f>
        <v>A1</v>
      </c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9">
        <f t="shared" si="6"/>
        <v>0</v>
      </c>
      <c r="AK105" s="49">
        <f t="shared" si="7"/>
        <v>0</v>
      </c>
      <c r="AL105" s="49">
        <f t="shared" si="8"/>
        <v>0</v>
      </c>
      <c r="AM105" s="49">
        <f t="shared" si="9"/>
        <v>0</v>
      </c>
      <c r="AN105" s="49">
        <f t="shared" si="10"/>
        <v>0</v>
      </c>
      <c r="AO105" s="53">
        <f t="shared" si="11"/>
        <v>0</v>
      </c>
    </row>
    <row r="106" spans="1:41" ht="21" customHeight="1" x14ac:dyDescent="0.25">
      <c r="A106" s="46">
        <f>IF('Data Karyawan'!A101&lt;&gt;"", 'Data Karyawan'!A101, "")</f>
        <v>98</v>
      </c>
      <c r="B106" s="46">
        <f>IF('Data Karyawan'!B101&lt;&gt;"", 'Data Karyawan'!B101, "")</f>
        <v>80267</v>
      </c>
      <c r="C106" s="47" t="str">
        <f>IF('Data Karyawan'!C101&lt;&gt;"", 'Data Karyawan'!C101, "")</f>
        <v>Denisyah Exsanti Anggraini</v>
      </c>
      <c r="D106" s="46" t="str">
        <f>IF('Data Karyawan'!D101&lt;&gt;"", 'Data Karyawan'!D101, "")</f>
        <v>A1</v>
      </c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9">
        <f t="shared" si="6"/>
        <v>0</v>
      </c>
      <c r="AK106" s="49">
        <f t="shared" si="7"/>
        <v>0</v>
      </c>
      <c r="AL106" s="49">
        <f t="shared" si="8"/>
        <v>0</v>
      </c>
      <c r="AM106" s="49">
        <f t="shared" si="9"/>
        <v>0</v>
      </c>
      <c r="AN106" s="49">
        <f t="shared" si="10"/>
        <v>0</v>
      </c>
      <c r="AO106" s="53">
        <f t="shared" si="11"/>
        <v>0</v>
      </c>
    </row>
    <row r="107" spans="1:41" ht="21" customHeight="1" x14ac:dyDescent="0.25">
      <c r="A107" s="46">
        <f>IF('Data Karyawan'!A102&lt;&gt;"", 'Data Karyawan'!A102, "")</f>
        <v>99</v>
      </c>
      <c r="B107" s="46" t="str">
        <f>IF('Data Karyawan'!B102&lt;&gt;"", 'Data Karyawan'!B102, "")</f>
        <v/>
      </c>
      <c r="C107" s="47" t="str">
        <f>IF('Data Karyawan'!C102&lt;&gt;"", 'Data Karyawan'!C102, "")</f>
        <v>Yuana Prisma Dina</v>
      </c>
      <c r="D107" s="46" t="str">
        <f>IF('Data Karyawan'!D102&lt;&gt;"", 'Data Karyawan'!D102, "")</f>
        <v>A1</v>
      </c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9">
        <f t="shared" si="6"/>
        <v>0</v>
      </c>
      <c r="AK107" s="49">
        <f t="shared" si="7"/>
        <v>0</v>
      </c>
      <c r="AL107" s="49">
        <f t="shared" si="8"/>
        <v>0</v>
      </c>
      <c r="AM107" s="49">
        <f t="shared" si="9"/>
        <v>0</v>
      </c>
      <c r="AN107" s="49">
        <f t="shared" si="10"/>
        <v>0</v>
      </c>
      <c r="AO107" s="53">
        <f t="shared" si="11"/>
        <v>0</v>
      </c>
    </row>
    <row r="108" spans="1:41" ht="21" customHeight="1" x14ac:dyDescent="0.25">
      <c r="A108" s="46">
        <f>IF('Data Karyawan'!A103&lt;&gt;"", 'Data Karyawan'!A103, "")</f>
        <v>100</v>
      </c>
      <c r="B108" s="46" t="str">
        <f>IF('Data Karyawan'!B103&lt;&gt;"", 'Data Karyawan'!B103, "")</f>
        <v/>
      </c>
      <c r="C108" s="47" t="str">
        <f>IF('Data Karyawan'!C103&lt;&gt;"", 'Data Karyawan'!C103, "")</f>
        <v>Alycia Salsabila A</v>
      </c>
      <c r="D108" s="46" t="str">
        <f>IF('Data Karyawan'!D103&lt;&gt;"", 'Data Karyawan'!D103, "")</f>
        <v>A1</v>
      </c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9">
        <f t="shared" si="6"/>
        <v>0</v>
      </c>
      <c r="AK108" s="49">
        <f t="shared" si="7"/>
        <v>0</v>
      </c>
      <c r="AL108" s="49">
        <f t="shared" si="8"/>
        <v>0</v>
      </c>
      <c r="AM108" s="49">
        <f t="shared" si="9"/>
        <v>0</v>
      </c>
      <c r="AN108" s="49">
        <f t="shared" si="10"/>
        <v>0</v>
      </c>
      <c r="AO108" s="53">
        <f t="shared" si="11"/>
        <v>0</v>
      </c>
    </row>
    <row r="109" spans="1:41" ht="21" customHeight="1" x14ac:dyDescent="0.25">
      <c r="A109" s="46">
        <f>IF('Data Karyawan'!A104&lt;&gt;"", 'Data Karyawan'!A104, "")</f>
        <v>101</v>
      </c>
      <c r="B109" s="46">
        <f>IF('Data Karyawan'!B104&lt;&gt;"", 'Data Karyawan'!B104, "")</f>
        <v>80262</v>
      </c>
      <c r="C109" s="47" t="str">
        <f>IF('Data Karyawan'!C104&lt;&gt;"", 'Data Karyawan'!C104, "")</f>
        <v>Novita Fitriana</v>
      </c>
      <c r="D109" s="46" t="str">
        <f>IF('Data Karyawan'!D104&lt;&gt;"", 'Data Karyawan'!D104, "")</f>
        <v>A1</v>
      </c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9">
        <f t="shared" si="6"/>
        <v>0</v>
      </c>
      <c r="AK109" s="49">
        <f t="shared" si="7"/>
        <v>0</v>
      </c>
      <c r="AL109" s="49">
        <f t="shared" si="8"/>
        <v>0</v>
      </c>
      <c r="AM109" s="49">
        <f t="shared" si="9"/>
        <v>0</v>
      </c>
      <c r="AN109" s="49">
        <f t="shared" si="10"/>
        <v>0</v>
      </c>
      <c r="AO109" s="53">
        <f t="shared" si="11"/>
        <v>0</v>
      </c>
    </row>
    <row r="110" spans="1:41" ht="21" customHeight="1" x14ac:dyDescent="0.25">
      <c r="A110" s="46">
        <f>IF('Data Karyawan'!A105&lt;&gt;"", 'Data Karyawan'!A105, "")</f>
        <v>102</v>
      </c>
      <c r="B110" s="46" t="str">
        <f>IF('Data Karyawan'!B105&lt;&gt;"", 'Data Karyawan'!B105, "")</f>
        <v/>
      </c>
      <c r="C110" s="47" t="str">
        <f>IF('Data Karyawan'!C105&lt;&gt;"", 'Data Karyawan'!C105, "")</f>
        <v>Mella Sabrina</v>
      </c>
      <c r="D110" s="46" t="str">
        <f>IF('Data Karyawan'!D105&lt;&gt;"", 'Data Karyawan'!D105, "")</f>
        <v>A1</v>
      </c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9">
        <f t="shared" si="6"/>
        <v>0</v>
      </c>
      <c r="AK110" s="49">
        <f t="shared" si="7"/>
        <v>0</v>
      </c>
      <c r="AL110" s="49">
        <f t="shared" si="8"/>
        <v>0</v>
      </c>
      <c r="AM110" s="49">
        <f t="shared" si="9"/>
        <v>0</v>
      </c>
      <c r="AN110" s="49">
        <f t="shared" si="10"/>
        <v>0</v>
      </c>
      <c r="AO110" s="53">
        <f t="shared" si="11"/>
        <v>0</v>
      </c>
    </row>
    <row r="111" spans="1:41" x14ac:dyDescent="0.25">
      <c r="A111" s="54">
        <f>IF('Data Karyawan'!A106&lt;&gt;"", 'Data Karyawan'!A106, "")</f>
        <v>103</v>
      </c>
      <c r="B111" s="54" t="str">
        <f>IF('Data Karyawan'!B106&lt;&gt;"", 'Data Karyawan'!B106, "")</f>
        <v/>
      </c>
      <c r="C111" s="55" t="str">
        <f>IF('Data Karyawan'!C106&lt;&gt;"", 'Data Karyawan'!C106, "")</f>
        <v>Zulfatus Saikhah</v>
      </c>
      <c r="D111" s="54" t="str">
        <f>IF('Data Karyawan'!D106&lt;&gt;"", 'Data Karyawan'!D106, "")</f>
        <v>A1</v>
      </c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4">
        <f t="shared" si="6"/>
        <v>0</v>
      </c>
      <c r="AK111" s="54">
        <f t="shared" si="7"/>
        <v>0</v>
      </c>
      <c r="AL111" s="54">
        <f t="shared" si="8"/>
        <v>0</v>
      </c>
      <c r="AM111" s="54">
        <f t="shared" si="9"/>
        <v>0</v>
      </c>
      <c r="AN111" s="54">
        <f t="shared" si="10"/>
        <v>0</v>
      </c>
      <c r="AO111" s="56">
        <f t="shared" si="11"/>
        <v>0</v>
      </c>
    </row>
    <row r="112" spans="1:41" x14ac:dyDescent="0.25">
      <c r="A112" s="54">
        <f>IF('Data Karyawan'!A107&lt;&gt;"", 'Data Karyawan'!A107, "")</f>
        <v>104</v>
      </c>
      <c r="B112" s="54" t="str">
        <f>IF('Data Karyawan'!B107&lt;&gt;"", 'Data Karyawan'!B107, "")</f>
        <v/>
      </c>
      <c r="C112" s="55" t="str">
        <f>IF('Data Karyawan'!C107&lt;&gt;"", 'Data Karyawan'!C107, "")</f>
        <v>Chelsiya Fika Ayunda Putri</v>
      </c>
      <c r="D112" s="54" t="str">
        <f>IF('Data Karyawan'!D107&lt;&gt;"", 'Data Karyawan'!D107, "")</f>
        <v>A1</v>
      </c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4">
        <f t="shared" si="6"/>
        <v>0</v>
      </c>
      <c r="AK112" s="54">
        <f t="shared" si="7"/>
        <v>0</v>
      </c>
      <c r="AL112" s="54">
        <f t="shared" si="8"/>
        <v>0</v>
      </c>
      <c r="AM112" s="54">
        <f t="shared" si="9"/>
        <v>0</v>
      </c>
      <c r="AN112" s="54">
        <f t="shared" si="10"/>
        <v>0</v>
      </c>
      <c r="AO112" s="56">
        <f t="shared" si="11"/>
        <v>0</v>
      </c>
    </row>
    <row r="113" spans="1:41" x14ac:dyDescent="0.25">
      <c r="A113" s="54">
        <f>IF('Data Karyawan'!A108&lt;&gt;"", 'Data Karyawan'!A108, "")</f>
        <v>105</v>
      </c>
      <c r="B113" s="54" t="str">
        <f>IF('Data Karyawan'!B108&lt;&gt;"", 'Data Karyawan'!B108, "")</f>
        <v/>
      </c>
      <c r="C113" s="55" t="str">
        <f>IF('Data Karyawan'!C108&lt;&gt;"", 'Data Karyawan'!C108, "")</f>
        <v>Nessa Devi Rahmawati</v>
      </c>
      <c r="D113" s="54" t="str">
        <f>IF('Data Karyawan'!D108&lt;&gt;"", 'Data Karyawan'!D108, "")</f>
        <v>A1</v>
      </c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4">
        <f t="shared" si="6"/>
        <v>0</v>
      </c>
      <c r="AK113" s="54">
        <f t="shared" si="7"/>
        <v>0</v>
      </c>
      <c r="AL113" s="54">
        <f t="shared" si="8"/>
        <v>0</v>
      </c>
      <c r="AM113" s="54">
        <f t="shared" si="9"/>
        <v>0</v>
      </c>
      <c r="AN113" s="54">
        <f t="shared" si="10"/>
        <v>0</v>
      </c>
      <c r="AO113" s="56">
        <f t="shared" si="11"/>
        <v>0</v>
      </c>
    </row>
    <row r="114" spans="1:41" x14ac:dyDescent="0.25">
      <c r="A114" s="54">
        <f>IF('Data Karyawan'!A109&lt;&gt;"", 'Data Karyawan'!A109, "")</f>
        <v>106</v>
      </c>
      <c r="B114" s="54">
        <f>IF('Data Karyawan'!B109&lt;&gt;"", 'Data Karyawan'!B109, "")</f>
        <v>80263</v>
      </c>
      <c r="C114" s="55" t="str">
        <f>IF('Data Karyawan'!C109&lt;&gt;"", 'Data Karyawan'!C109, "")</f>
        <v>Wahyu Dwi Charima</v>
      </c>
      <c r="D114" s="54" t="str">
        <f>IF('Data Karyawan'!D109&lt;&gt;"", 'Data Karyawan'!D109, "")</f>
        <v>A1</v>
      </c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4">
        <f t="shared" si="6"/>
        <v>0</v>
      </c>
      <c r="AK114" s="54">
        <f t="shared" si="7"/>
        <v>0</v>
      </c>
      <c r="AL114" s="54">
        <f t="shared" si="8"/>
        <v>0</v>
      </c>
      <c r="AM114" s="54">
        <f t="shared" si="9"/>
        <v>0</v>
      </c>
      <c r="AN114" s="54">
        <f t="shared" si="10"/>
        <v>0</v>
      </c>
      <c r="AO114" s="56">
        <f t="shared" si="11"/>
        <v>0</v>
      </c>
    </row>
    <row r="115" spans="1:41" x14ac:dyDescent="0.25">
      <c r="A115" s="54">
        <f>IF('Data Karyawan'!A110&lt;&gt;"", 'Data Karyawan'!A110, "")</f>
        <v>107</v>
      </c>
      <c r="B115" s="54" t="str">
        <f>IF('Data Karyawan'!B110&lt;&gt;"", 'Data Karyawan'!B110, "")</f>
        <v/>
      </c>
      <c r="C115" s="55" t="str">
        <f>IF('Data Karyawan'!C110&lt;&gt;"", 'Data Karyawan'!C110, "")</f>
        <v>Cahaya Febriana</v>
      </c>
      <c r="D115" s="54" t="str">
        <f>IF('Data Karyawan'!D110&lt;&gt;"", 'Data Karyawan'!D110, "")</f>
        <v>A1</v>
      </c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4">
        <f t="shared" si="6"/>
        <v>0</v>
      </c>
      <c r="AK115" s="54">
        <f t="shared" si="7"/>
        <v>0</v>
      </c>
      <c r="AL115" s="54">
        <f t="shared" si="8"/>
        <v>0</v>
      </c>
      <c r="AM115" s="54">
        <f t="shared" si="9"/>
        <v>0</v>
      </c>
      <c r="AN115" s="54">
        <f t="shared" si="10"/>
        <v>0</v>
      </c>
      <c r="AO115" s="56">
        <f t="shared" si="11"/>
        <v>0</v>
      </c>
    </row>
    <row r="116" spans="1:41" x14ac:dyDescent="0.25">
      <c r="A116" s="54">
        <f>IF('Data Karyawan'!A111&lt;&gt;"", 'Data Karyawan'!A111, "")</f>
        <v>108</v>
      </c>
      <c r="B116" s="54">
        <f>IF('Data Karyawan'!B111&lt;&gt;"", 'Data Karyawan'!B111, "")</f>
        <v>80275</v>
      </c>
      <c r="C116" s="55" t="str">
        <f>IF('Data Karyawan'!C111&lt;&gt;"", 'Data Karyawan'!C111, "")</f>
        <v>Aulia Dewi Salsabila</v>
      </c>
      <c r="D116" s="54" t="str">
        <f>IF('Data Karyawan'!D111&lt;&gt;"", 'Data Karyawan'!D111, "")</f>
        <v>A1</v>
      </c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4">
        <f t="shared" si="6"/>
        <v>0</v>
      </c>
      <c r="AK116" s="54">
        <f t="shared" si="7"/>
        <v>0</v>
      </c>
      <c r="AL116" s="54">
        <f t="shared" si="8"/>
        <v>0</v>
      </c>
      <c r="AM116" s="54">
        <f t="shared" si="9"/>
        <v>0</v>
      </c>
      <c r="AN116" s="54">
        <f t="shared" si="10"/>
        <v>0</v>
      </c>
      <c r="AO116" s="56">
        <f t="shared" si="11"/>
        <v>0</v>
      </c>
    </row>
    <row r="117" spans="1:41" x14ac:dyDescent="0.25">
      <c r="A117" s="54">
        <f>IF('Data Karyawan'!A112&lt;&gt;"", 'Data Karyawan'!A112, "")</f>
        <v>109</v>
      </c>
      <c r="B117" s="54">
        <f>IF('Data Karyawan'!B112&lt;&gt;"", 'Data Karyawan'!B112, "")</f>
        <v>80276</v>
      </c>
      <c r="C117" s="55" t="str">
        <f>IF('Data Karyawan'!C112&lt;&gt;"", 'Data Karyawan'!C112, "")</f>
        <v>Eta Restiana Tri Y</v>
      </c>
      <c r="D117" s="54" t="str">
        <f>IF('Data Karyawan'!D112&lt;&gt;"", 'Data Karyawan'!D112, "")</f>
        <v>A1</v>
      </c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4">
        <f t="shared" si="6"/>
        <v>0</v>
      </c>
      <c r="AK117" s="54">
        <f t="shared" si="7"/>
        <v>0</v>
      </c>
      <c r="AL117" s="54">
        <f t="shared" si="8"/>
        <v>0</v>
      </c>
      <c r="AM117" s="54">
        <f t="shared" si="9"/>
        <v>0</v>
      </c>
      <c r="AN117" s="54">
        <f t="shared" si="10"/>
        <v>0</v>
      </c>
      <c r="AO117" s="56">
        <f t="shared" si="11"/>
        <v>0</v>
      </c>
    </row>
    <row r="118" spans="1:41" x14ac:dyDescent="0.25">
      <c r="A118" s="54">
        <f>IF('Data Karyawan'!A113&lt;&gt;"", 'Data Karyawan'!A113, "")</f>
        <v>110</v>
      </c>
      <c r="B118" s="54">
        <f>IF('Data Karyawan'!B113&lt;&gt;"", 'Data Karyawan'!B113, "")</f>
        <v>80280</v>
      </c>
      <c r="C118" s="55" t="str">
        <f>IF('Data Karyawan'!C113&lt;&gt;"", 'Data Karyawan'!C113, "")</f>
        <v>Arni Lailatus Sholika</v>
      </c>
      <c r="D118" s="54" t="str">
        <f>IF('Data Karyawan'!D113&lt;&gt;"", 'Data Karyawan'!D113, "")</f>
        <v>A1</v>
      </c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4">
        <f t="shared" si="6"/>
        <v>0</v>
      </c>
      <c r="AK118" s="54">
        <f t="shared" si="7"/>
        <v>0</v>
      </c>
      <c r="AL118" s="54">
        <f t="shared" si="8"/>
        <v>0</v>
      </c>
      <c r="AM118" s="54">
        <f t="shared" si="9"/>
        <v>0</v>
      </c>
      <c r="AN118" s="54">
        <f t="shared" si="10"/>
        <v>0</v>
      </c>
      <c r="AO118" s="56">
        <f t="shared" si="11"/>
        <v>0</v>
      </c>
    </row>
    <row r="119" spans="1:41" x14ac:dyDescent="0.25">
      <c r="A119" s="54">
        <f>IF('Data Karyawan'!A114&lt;&gt;"", 'Data Karyawan'!A114, "")</f>
        <v>111</v>
      </c>
      <c r="B119" s="54">
        <f>IF('Data Karyawan'!B114&lt;&gt;"", 'Data Karyawan'!B114, "")</f>
        <v>80279</v>
      </c>
      <c r="C119" s="55" t="str">
        <f>IF('Data Karyawan'!C114&lt;&gt;"", 'Data Karyawan'!C114, "")</f>
        <v>Anis Rahmawati</v>
      </c>
      <c r="D119" s="54" t="str">
        <f>IF('Data Karyawan'!D114&lt;&gt;"", 'Data Karyawan'!D114, "")</f>
        <v>A1</v>
      </c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4">
        <f t="shared" si="6"/>
        <v>0</v>
      </c>
      <c r="AK119" s="54">
        <f t="shared" si="7"/>
        <v>0</v>
      </c>
      <c r="AL119" s="54">
        <f t="shared" si="8"/>
        <v>0</v>
      </c>
      <c r="AM119" s="54">
        <f t="shared" si="9"/>
        <v>0</v>
      </c>
      <c r="AN119" s="54">
        <f t="shared" si="10"/>
        <v>0</v>
      </c>
      <c r="AO119" s="56">
        <f t="shared" si="11"/>
        <v>0</v>
      </c>
    </row>
    <row r="120" spans="1:41" x14ac:dyDescent="0.25">
      <c r="A120" s="54">
        <f>IF('Data Karyawan'!A115&lt;&gt;"", 'Data Karyawan'!A115, "")</f>
        <v>112</v>
      </c>
      <c r="B120" s="54">
        <f>IF('Data Karyawan'!B115&lt;&gt;"", 'Data Karyawan'!B115, "")</f>
        <v>80277</v>
      </c>
      <c r="C120" s="55" t="str">
        <f>IF('Data Karyawan'!C115&lt;&gt;"", 'Data Karyawan'!C115, "")</f>
        <v>Habibatul Azkiyah</v>
      </c>
      <c r="D120" s="54" t="str">
        <f>IF('Data Karyawan'!D115&lt;&gt;"", 'Data Karyawan'!D115, "")</f>
        <v>A1</v>
      </c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4">
        <f t="shared" si="6"/>
        <v>0</v>
      </c>
      <c r="AK120" s="54">
        <f t="shared" si="7"/>
        <v>0</v>
      </c>
      <c r="AL120" s="54">
        <f t="shared" si="8"/>
        <v>0</v>
      </c>
      <c r="AM120" s="54">
        <f t="shared" si="9"/>
        <v>0</v>
      </c>
      <c r="AN120" s="54">
        <f t="shared" si="10"/>
        <v>0</v>
      </c>
      <c r="AO120" s="56">
        <f t="shared" si="11"/>
        <v>0</v>
      </c>
    </row>
    <row r="121" spans="1:41" x14ac:dyDescent="0.25">
      <c r="A121" s="54">
        <f>IF('Data Karyawan'!A116&lt;&gt;"", 'Data Karyawan'!A116, "")</f>
        <v>113</v>
      </c>
      <c r="B121" s="54">
        <f>IF('Data Karyawan'!B116&lt;&gt;"", 'Data Karyawan'!B116, "")</f>
        <v>80281</v>
      </c>
      <c r="C121" s="55" t="str">
        <f>IF('Data Karyawan'!C116&lt;&gt;"", 'Data Karyawan'!C116, "")</f>
        <v>Fitri Laily Ardyanti</v>
      </c>
      <c r="D121" s="54" t="str">
        <f>IF('Data Karyawan'!D116&lt;&gt;"", 'Data Karyawan'!D116, "")</f>
        <v>A1</v>
      </c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4">
        <f t="shared" si="6"/>
        <v>0</v>
      </c>
      <c r="AK121" s="54">
        <f t="shared" si="7"/>
        <v>0</v>
      </c>
      <c r="AL121" s="54">
        <f t="shared" si="8"/>
        <v>0</v>
      </c>
      <c r="AM121" s="54">
        <f t="shared" si="9"/>
        <v>0</v>
      </c>
      <c r="AN121" s="54">
        <f t="shared" si="10"/>
        <v>0</v>
      </c>
      <c r="AO121" s="56">
        <f t="shared" si="11"/>
        <v>0</v>
      </c>
    </row>
    <row r="122" spans="1:41" x14ac:dyDescent="0.25">
      <c r="A122" s="54">
        <f>IF('Data Karyawan'!A117&lt;&gt;"", 'Data Karyawan'!A117, "")</f>
        <v>114</v>
      </c>
      <c r="B122" s="54">
        <f>IF('Data Karyawan'!B117&lt;&gt;"", 'Data Karyawan'!B117, "")</f>
        <v>80278</v>
      </c>
      <c r="C122" s="55" t="str">
        <f>IF('Data Karyawan'!C117&lt;&gt;"", 'Data Karyawan'!C117, "")</f>
        <v>Mutiara Dwi Anggraini</v>
      </c>
      <c r="D122" s="54" t="str">
        <f>IF('Data Karyawan'!D117&lt;&gt;"", 'Data Karyawan'!D117, "")</f>
        <v>A1</v>
      </c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4">
        <f t="shared" si="6"/>
        <v>0</v>
      </c>
      <c r="AK122" s="54">
        <f t="shared" si="7"/>
        <v>0</v>
      </c>
      <c r="AL122" s="54">
        <f t="shared" si="8"/>
        <v>0</v>
      </c>
      <c r="AM122" s="54">
        <f t="shared" si="9"/>
        <v>0</v>
      </c>
      <c r="AN122" s="54">
        <f t="shared" si="10"/>
        <v>0</v>
      </c>
      <c r="AO122" s="56">
        <f t="shared" si="11"/>
        <v>0</v>
      </c>
    </row>
    <row r="123" spans="1:41" x14ac:dyDescent="0.25">
      <c r="A123" s="54">
        <f>IF('Data Karyawan'!A118&lt;&gt;"", 'Data Karyawan'!A118, "")</f>
        <v>115</v>
      </c>
      <c r="B123" s="54" t="str">
        <f>IF('Data Karyawan'!B118&lt;&gt;"", 'Data Karyawan'!B118, "")</f>
        <v/>
      </c>
      <c r="C123" s="55" t="str">
        <f>IF('Data Karyawan'!C118&lt;&gt;"", 'Data Karyawan'!C118, "")</f>
        <v>Irawati</v>
      </c>
      <c r="D123" s="54" t="str">
        <f>IF('Data Karyawan'!D118&lt;&gt;"", 'Data Karyawan'!D118, "")</f>
        <v>A1</v>
      </c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4">
        <f t="shared" si="6"/>
        <v>0</v>
      </c>
      <c r="AK123" s="54">
        <f t="shared" si="7"/>
        <v>0</v>
      </c>
      <c r="AL123" s="54">
        <f t="shared" si="8"/>
        <v>0</v>
      </c>
      <c r="AM123" s="54">
        <f t="shared" si="9"/>
        <v>0</v>
      </c>
      <c r="AN123" s="54">
        <f t="shared" si="10"/>
        <v>0</v>
      </c>
      <c r="AO123" s="56">
        <f t="shared" si="11"/>
        <v>0</v>
      </c>
    </row>
    <row r="124" spans="1:41" x14ac:dyDescent="0.25">
      <c r="A124" s="54">
        <f>IF('Data Karyawan'!A119&lt;&gt;"", 'Data Karyawan'!A119, "")</f>
        <v>116</v>
      </c>
      <c r="B124" s="54" t="str">
        <f>IF('Data Karyawan'!B119&lt;&gt;"", 'Data Karyawan'!B119, "")</f>
        <v/>
      </c>
      <c r="C124" s="55" t="str">
        <f>IF('Data Karyawan'!C119&lt;&gt;"", 'Data Karyawan'!C119, "")</f>
        <v>Wike Septiansya P</v>
      </c>
      <c r="D124" s="54" t="str">
        <f>IF('Data Karyawan'!D119&lt;&gt;"", 'Data Karyawan'!D119, "")</f>
        <v>A1</v>
      </c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4">
        <f t="shared" si="6"/>
        <v>0</v>
      </c>
      <c r="AK124" s="54">
        <f t="shared" si="7"/>
        <v>0</v>
      </c>
      <c r="AL124" s="54">
        <f t="shared" si="8"/>
        <v>0</v>
      </c>
      <c r="AM124" s="54">
        <f t="shared" si="9"/>
        <v>0</v>
      </c>
      <c r="AN124" s="54">
        <f t="shared" si="10"/>
        <v>0</v>
      </c>
      <c r="AO124" s="56">
        <f t="shared" si="11"/>
        <v>0</v>
      </c>
    </row>
    <row r="125" spans="1:41" x14ac:dyDescent="0.25">
      <c r="A125" s="54">
        <f>IF('Data Karyawan'!A120&lt;&gt;"", 'Data Karyawan'!A120, "")</f>
        <v>117</v>
      </c>
      <c r="B125" s="54" t="str">
        <f>IF('Data Karyawan'!B120&lt;&gt;"", 'Data Karyawan'!B120, "")</f>
        <v/>
      </c>
      <c r="C125" s="55" t="str">
        <f>IF('Data Karyawan'!C120&lt;&gt;"", 'Data Karyawan'!C120, "")</f>
        <v>Lulus Endira F R</v>
      </c>
      <c r="D125" s="54" t="str">
        <f>IF('Data Karyawan'!D120&lt;&gt;"", 'Data Karyawan'!D120, "")</f>
        <v>A1</v>
      </c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4">
        <f t="shared" si="6"/>
        <v>0</v>
      </c>
      <c r="AK125" s="54">
        <f t="shared" si="7"/>
        <v>0</v>
      </c>
      <c r="AL125" s="54">
        <f t="shared" si="8"/>
        <v>0</v>
      </c>
      <c r="AM125" s="54">
        <f t="shared" si="9"/>
        <v>0</v>
      </c>
      <c r="AN125" s="54">
        <f t="shared" si="10"/>
        <v>0</v>
      </c>
      <c r="AO125" s="56">
        <f t="shared" si="11"/>
        <v>0</v>
      </c>
    </row>
    <row r="126" spans="1:41" x14ac:dyDescent="0.25">
      <c r="A126" s="54">
        <f>IF('Data Karyawan'!A121&lt;&gt;"", 'Data Karyawan'!A121, "")</f>
        <v>118</v>
      </c>
      <c r="B126" s="54" t="str">
        <f>IF('Data Karyawan'!B121&lt;&gt;"", 'Data Karyawan'!B121, "")</f>
        <v/>
      </c>
      <c r="C126" s="55" t="str">
        <f>IF('Data Karyawan'!C121&lt;&gt;"", 'Data Karyawan'!C121, "")</f>
        <v>Elen Angresya</v>
      </c>
      <c r="D126" s="54" t="str">
        <f>IF('Data Karyawan'!D121&lt;&gt;"", 'Data Karyawan'!D121, "")</f>
        <v>A1</v>
      </c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4">
        <f t="shared" si="6"/>
        <v>0</v>
      </c>
      <c r="AK126" s="54">
        <f t="shared" si="7"/>
        <v>0</v>
      </c>
      <c r="AL126" s="54">
        <f t="shared" si="8"/>
        <v>0</v>
      </c>
      <c r="AM126" s="54">
        <f t="shared" si="9"/>
        <v>0</v>
      </c>
      <c r="AN126" s="54">
        <f t="shared" si="10"/>
        <v>0</v>
      </c>
      <c r="AO126" s="56">
        <f t="shared" si="11"/>
        <v>0</v>
      </c>
    </row>
    <row r="127" spans="1:41" x14ac:dyDescent="0.25">
      <c r="A127" s="54">
        <f>IF('Data Karyawan'!A122&lt;&gt;"", 'Data Karyawan'!A122, "")</f>
        <v>119</v>
      </c>
      <c r="B127" s="54" t="str">
        <f>IF('Data Karyawan'!B122&lt;&gt;"", 'Data Karyawan'!B122, "")</f>
        <v/>
      </c>
      <c r="C127" s="55" t="str">
        <f>IF('Data Karyawan'!C122&lt;&gt;"", 'Data Karyawan'!C122, "")</f>
        <v>Muhamad Afdul Aziz</v>
      </c>
      <c r="D127" s="54" t="str">
        <f>IF('Data Karyawan'!D122&lt;&gt;"", 'Data Karyawan'!D122, "")</f>
        <v>A1</v>
      </c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4">
        <f t="shared" si="6"/>
        <v>0</v>
      </c>
      <c r="AK127" s="54">
        <f t="shared" si="7"/>
        <v>0</v>
      </c>
      <c r="AL127" s="54">
        <f t="shared" si="8"/>
        <v>0</v>
      </c>
      <c r="AM127" s="54">
        <f t="shared" si="9"/>
        <v>0</v>
      </c>
      <c r="AN127" s="54">
        <f t="shared" si="10"/>
        <v>0</v>
      </c>
      <c r="AO127" s="56">
        <f t="shared" si="11"/>
        <v>0</v>
      </c>
    </row>
    <row r="128" spans="1:41" x14ac:dyDescent="0.25">
      <c r="A128" s="54">
        <f>IF('Data Karyawan'!A123&lt;&gt;"", 'Data Karyawan'!A123, "")</f>
        <v>120</v>
      </c>
      <c r="B128" s="54" t="str">
        <f>IF('Data Karyawan'!B123&lt;&gt;"", 'Data Karyawan'!B123, "")</f>
        <v/>
      </c>
      <c r="C128" s="55" t="str">
        <f>IF('Data Karyawan'!C123&lt;&gt;"", 'Data Karyawan'!C123, "")</f>
        <v/>
      </c>
      <c r="D128" s="54" t="str">
        <f>IF('Data Karyawan'!D123&lt;&gt;"", 'Data Karyawan'!D123, "")</f>
        <v/>
      </c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4" t="str">
        <f t="shared" si="6"/>
        <v/>
      </c>
      <c r="AK128" s="54" t="str">
        <f t="shared" si="7"/>
        <v/>
      </c>
      <c r="AL128" s="54" t="str">
        <f t="shared" si="8"/>
        <v/>
      </c>
      <c r="AM128" s="54" t="str">
        <f t="shared" si="9"/>
        <v/>
      </c>
      <c r="AN128" s="54" t="str">
        <f t="shared" si="10"/>
        <v/>
      </c>
      <c r="AO128" s="56" t="e">
        <f t="shared" si="11"/>
        <v>#VALUE!</v>
      </c>
    </row>
    <row r="129" spans="1:41" x14ac:dyDescent="0.25">
      <c r="A129" s="54">
        <f>IF('Data Karyawan'!A124&lt;&gt;"", 'Data Karyawan'!A124, "")</f>
        <v>121</v>
      </c>
      <c r="B129" s="54" t="str">
        <f>IF('Data Karyawan'!B124&lt;&gt;"", 'Data Karyawan'!B124, "")</f>
        <v/>
      </c>
      <c r="C129" s="55" t="str">
        <f>IF('Data Karyawan'!C124&lt;&gt;"", 'Data Karyawan'!C124, "")</f>
        <v/>
      </c>
      <c r="D129" s="54" t="str">
        <f>IF('Data Karyawan'!D124&lt;&gt;"", 'Data Karyawan'!D124, "")</f>
        <v/>
      </c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4" t="str">
        <f t="shared" si="6"/>
        <v/>
      </c>
      <c r="AK129" s="54" t="str">
        <f t="shared" si="7"/>
        <v/>
      </c>
      <c r="AL129" s="54" t="str">
        <f t="shared" si="8"/>
        <v/>
      </c>
      <c r="AM129" s="54" t="str">
        <f t="shared" si="9"/>
        <v/>
      </c>
      <c r="AN129" s="54" t="str">
        <f t="shared" si="10"/>
        <v/>
      </c>
      <c r="AO129" s="56" t="e">
        <f t="shared" si="11"/>
        <v>#VALUE!</v>
      </c>
    </row>
    <row r="130" spans="1:41" x14ac:dyDescent="0.25">
      <c r="A130" s="54">
        <f>IF('Data Karyawan'!A125&lt;&gt;"", 'Data Karyawan'!A125, "")</f>
        <v>122</v>
      </c>
      <c r="B130" s="54" t="str">
        <f>IF('Data Karyawan'!B125&lt;&gt;"", 'Data Karyawan'!B125, "")</f>
        <v/>
      </c>
      <c r="C130" s="55" t="str">
        <f>IF('Data Karyawan'!C125&lt;&gt;"", 'Data Karyawan'!C125, "")</f>
        <v/>
      </c>
      <c r="D130" s="54" t="str">
        <f>IF('Data Karyawan'!D125&lt;&gt;"", 'Data Karyawan'!D125, "")</f>
        <v/>
      </c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4" t="str">
        <f t="shared" si="6"/>
        <v/>
      </c>
      <c r="AK130" s="54" t="str">
        <f t="shared" si="7"/>
        <v/>
      </c>
      <c r="AL130" s="54" t="str">
        <f t="shared" si="8"/>
        <v/>
      </c>
      <c r="AM130" s="54" t="str">
        <f t="shared" si="9"/>
        <v/>
      </c>
      <c r="AN130" s="54" t="str">
        <f t="shared" si="10"/>
        <v/>
      </c>
      <c r="AO130" s="56" t="e">
        <f t="shared" si="11"/>
        <v>#VALUE!</v>
      </c>
    </row>
    <row r="131" spans="1:41" x14ac:dyDescent="0.25">
      <c r="A131" s="54">
        <f>IF('Data Karyawan'!A126&lt;&gt;"", 'Data Karyawan'!A126, "")</f>
        <v>123</v>
      </c>
      <c r="B131" s="54" t="str">
        <f>IF('Data Karyawan'!B126&lt;&gt;"", 'Data Karyawan'!B126, "")</f>
        <v/>
      </c>
      <c r="C131" s="55" t="str">
        <f>IF('Data Karyawan'!C126&lt;&gt;"", 'Data Karyawan'!C126, "")</f>
        <v/>
      </c>
      <c r="D131" s="54" t="str">
        <f>IF('Data Karyawan'!D126&lt;&gt;"", 'Data Karyawan'!D126, "")</f>
        <v/>
      </c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4" t="str">
        <f t="shared" si="6"/>
        <v/>
      </c>
      <c r="AK131" s="54" t="str">
        <f t="shared" si="7"/>
        <v/>
      </c>
      <c r="AL131" s="54" t="str">
        <f t="shared" si="8"/>
        <v/>
      </c>
      <c r="AM131" s="54" t="str">
        <f t="shared" si="9"/>
        <v/>
      </c>
      <c r="AN131" s="54" t="str">
        <f t="shared" si="10"/>
        <v/>
      </c>
      <c r="AO131" s="56" t="e">
        <f t="shared" si="11"/>
        <v>#VALUE!</v>
      </c>
    </row>
    <row r="132" spans="1:41" x14ac:dyDescent="0.25">
      <c r="A132" s="54">
        <f>IF('Data Karyawan'!A127&lt;&gt;"", 'Data Karyawan'!A127, "")</f>
        <v>124</v>
      </c>
      <c r="B132" s="54" t="str">
        <f>IF('Data Karyawan'!B127&lt;&gt;"", 'Data Karyawan'!B127, "")</f>
        <v/>
      </c>
      <c r="C132" s="55" t="str">
        <f>IF('Data Karyawan'!C127&lt;&gt;"", 'Data Karyawan'!C127, "")</f>
        <v/>
      </c>
      <c r="D132" s="54" t="str">
        <f>IF('Data Karyawan'!D127&lt;&gt;"", 'Data Karyawan'!D127, "")</f>
        <v/>
      </c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4" t="str">
        <f t="shared" si="6"/>
        <v/>
      </c>
      <c r="AK132" s="54" t="str">
        <f t="shared" si="7"/>
        <v/>
      </c>
      <c r="AL132" s="54" t="str">
        <f t="shared" si="8"/>
        <v/>
      </c>
      <c r="AM132" s="54" t="str">
        <f t="shared" si="9"/>
        <v/>
      </c>
      <c r="AN132" s="54" t="str">
        <f t="shared" si="10"/>
        <v/>
      </c>
      <c r="AO132" s="56" t="e">
        <f t="shared" si="11"/>
        <v>#VALUE!</v>
      </c>
    </row>
    <row r="133" spans="1:41" x14ac:dyDescent="0.25">
      <c r="A133" s="54">
        <f>IF('Data Karyawan'!A128&lt;&gt;"", 'Data Karyawan'!A128, "")</f>
        <v>125</v>
      </c>
      <c r="B133" s="54" t="str">
        <f>IF('Data Karyawan'!B128&lt;&gt;"", 'Data Karyawan'!B128, "")</f>
        <v/>
      </c>
      <c r="C133" s="55" t="str">
        <f>IF('Data Karyawan'!C128&lt;&gt;"", 'Data Karyawan'!C128, "")</f>
        <v/>
      </c>
      <c r="D133" s="54" t="str">
        <f>IF('Data Karyawan'!D128&lt;&gt;"", 'Data Karyawan'!D128, "")</f>
        <v/>
      </c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4" t="str">
        <f t="shared" si="6"/>
        <v/>
      </c>
      <c r="AK133" s="54" t="str">
        <f t="shared" si="7"/>
        <v/>
      </c>
      <c r="AL133" s="54" t="str">
        <f t="shared" si="8"/>
        <v/>
      </c>
      <c r="AM133" s="54" t="str">
        <f t="shared" si="9"/>
        <v/>
      </c>
      <c r="AN133" s="54" t="str">
        <f t="shared" si="10"/>
        <v/>
      </c>
      <c r="AO133" s="56" t="e">
        <f t="shared" si="11"/>
        <v>#VALUE!</v>
      </c>
    </row>
    <row r="134" spans="1:41" x14ac:dyDescent="0.25">
      <c r="A134" s="54">
        <f>IF('Data Karyawan'!A129&lt;&gt;"", 'Data Karyawan'!A129, "")</f>
        <v>126</v>
      </c>
      <c r="B134" s="54" t="str">
        <f>IF('Data Karyawan'!B129&lt;&gt;"", 'Data Karyawan'!B129, "")</f>
        <v/>
      </c>
      <c r="C134" s="55" t="str">
        <f>IF('Data Karyawan'!C129&lt;&gt;"", 'Data Karyawan'!C129, "")</f>
        <v/>
      </c>
      <c r="D134" s="54" t="str">
        <f>IF('Data Karyawan'!D129&lt;&gt;"", 'Data Karyawan'!D129, "")</f>
        <v/>
      </c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4" t="str">
        <f t="shared" si="6"/>
        <v/>
      </c>
      <c r="AK134" s="54" t="str">
        <f t="shared" si="7"/>
        <v/>
      </c>
      <c r="AL134" s="54" t="str">
        <f t="shared" si="8"/>
        <v/>
      </c>
      <c r="AM134" s="54" t="str">
        <f t="shared" si="9"/>
        <v/>
      </c>
      <c r="AN134" s="54" t="str">
        <f t="shared" si="10"/>
        <v/>
      </c>
      <c r="AO134" s="56" t="e">
        <f t="shared" si="11"/>
        <v>#VALUE!</v>
      </c>
    </row>
    <row r="135" spans="1:41" x14ac:dyDescent="0.25">
      <c r="A135" s="54">
        <f>IF('Data Karyawan'!A130&lt;&gt;"", 'Data Karyawan'!A130, "")</f>
        <v>127</v>
      </c>
      <c r="B135" s="54" t="str">
        <f>IF('Data Karyawan'!B130&lt;&gt;"", 'Data Karyawan'!B130, "")</f>
        <v/>
      </c>
      <c r="C135" s="55" t="str">
        <f>IF('Data Karyawan'!C130&lt;&gt;"", 'Data Karyawan'!C130, "")</f>
        <v/>
      </c>
      <c r="D135" s="54" t="str">
        <f>IF('Data Karyawan'!D130&lt;&gt;"", 'Data Karyawan'!D130, "")</f>
        <v/>
      </c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4" t="str">
        <f t="shared" si="6"/>
        <v/>
      </c>
      <c r="AK135" s="54" t="str">
        <f t="shared" si="7"/>
        <v/>
      </c>
      <c r="AL135" s="54" t="str">
        <f t="shared" si="8"/>
        <v/>
      </c>
      <c r="AM135" s="54" t="str">
        <f t="shared" si="9"/>
        <v/>
      </c>
      <c r="AN135" s="54" t="str">
        <f t="shared" si="10"/>
        <v/>
      </c>
      <c r="AO135" s="56" t="e">
        <f t="shared" si="11"/>
        <v>#VALUE!</v>
      </c>
    </row>
    <row r="136" spans="1:41" x14ac:dyDescent="0.25">
      <c r="A136" s="54">
        <f>IF('Data Karyawan'!A131&lt;&gt;"", 'Data Karyawan'!A131, "")</f>
        <v>128</v>
      </c>
      <c r="B136" s="54" t="str">
        <f>IF('Data Karyawan'!B131&lt;&gt;"", 'Data Karyawan'!B131, "")</f>
        <v/>
      </c>
      <c r="C136" s="55" t="str">
        <f>IF('Data Karyawan'!C131&lt;&gt;"", 'Data Karyawan'!C131, "")</f>
        <v/>
      </c>
      <c r="D136" s="54" t="str">
        <f>IF('Data Karyawan'!D131&lt;&gt;"", 'Data Karyawan'!D131, "")</f>
        <v/>
      </c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4" t="str">
        <f t="shared" si="6"/>
        <v/>
      </c>
      <c r="AK136" s="54" t="str">
        <f t="shared" si="7"/>
        <v/>
      </c>
      <c r="AL136" s="54" t="str">
        <f t="shared" si="8"/>
        <v/>
      </c>
      <c r="AM136" s="54" t="str">
        <f t="shared" si="9"/>
        <v/>
      </c>
      <c r="AN136" s="54" t="str">
        <f t="shared" si="10"/>
        <v/>
      </c>
      <c r="AO136" s="56" t="e">
        <f t="shared" si="11"/>
        <v>#VALUE!</v>
      </c>
    </row>
    <row r="137" spans="1:41" x14ac:dyDescent="0.25">
      <c r="A137" s="54">
        <f>IF('Data Karyawan'!A132&lt;&gt;"", 'Data Karyawan'!A132, "")</f>
        <v>129</v>
      </c>
      <c r="B137" s="54" t="str">
        <f>IF('Data Karyawan'!B132&lt;&gt;"", 'Data Karyawan'!B132, "")</f>
        <v/>
      </c>
      <c r="C137" s="55" t="str">
        <f>IF('Data Karyawan'!C132&lt;&gt;"", 'Data Karyawan'!C132, "")</f>
        <v/>
      </c>
      <c r="D137" s="54" t="str">
        <f>IF('Data Karyawan'!D132&lt;&gt;"", 'Data Karyawan'!D132, "")</f>
        <v/>
      </c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4" t="str">
        <f t="shared" ref="AJ137:AJ200" si="12">IF($C137="","",COUNTIF(E137:AI137, "H"))</f>
        <v/>
      </c>
      <c r="AK137" s="54" t="str">
        <f t="shared" ref="AK137:AK200" si="13">IF($C137="","",COUNTIF(E137:AI137, "S"))</f>
        <v/>
      </c>
      <c r="AL137" s="54" t="str">
        <f t="shared" ref="AL137:AL200" si="14">IF($C137="","",COUNTIF(E137:AI137, "I"))</f>
        <v/>
      </c>
      <c r="AM137" s="54" t="str">
        <f t="shared" ref="AM137:AM200" si="15">IF($C137="","",COUNTIF(E137:AI137, "A"))</f>
        <v/>
      </c>
      <c r="AN137" s="54" t="str">
        <f t="shared" ref="AN137:AN200" si="16">IF($C137="","",COUNTIF(E137:AI137, "C"))</f>
        <v/>
      </c>
      <c r="AO137" s="56" t="e">
        <f t="shared" ref="AO137:AO200" si="17">IF(OR($B137="",(AJ137+AK137+AL137+AM137)=0),0,AJ137/(AJ137+AK137+AL137+AM137))</f>
        <v>#VALUE!</v>
      </c>
    </row>
    <row r="138" spans="1:41" x14ac:dyDescent="0.25">
      <c r="A138" s="54">
        <f>IF('Data Karyawan'!A133&lt;&gt;"", 'Data Karyawan'!A133, "")</f>
        <v>130</v>
      </c>
      <c r="B138" s="54" t="str">
        <f>IF('Data Karyawan'!B133&lt;&gt;"", 'Data Karyawan'!B133, "")</f>
        <v/>
      </c>
      <c r="C138" s="55" t="str">
        <f>IF('Data Karyawan'!C133&lt;&gt;"", 'Data Karyawan'!C133, "")</f>
        <v/>
      </c>
      <c r="D138" s="54" t="str">
        <f>IF('Data Karyawan'!D133&lt;&gt;"", 'Data Karyawan'!D133, "")</f>
        <v/>
      </c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4" t="str">
        <f t="shared" si="12"/>
        <v/>
      </c>
      <c r="AK138" s="54" t="str">
        <f t="shared" si="13"/>
        <v/>
      </c>
      <c r="AL138" s="54" t="str">
        <f t="shared" si="14"/>
        <v/>
      </c>
      <c r="AM138" s="54" t="str">
        <f t="shared" si="15"/>
        <v/>
      </c>
      <c r="AN138" s="54" t="str">
        <f t="shared" si="16"/>
        <v/>
      </c>
      <c r="AO138" s="56" t="e">
        <f t="shared" si="17"/>
        <v>#VALUE!</v>
      </c>
    </row>
    <row r="139" spans="1:41" x14ac:dyDescent="0.25">
      <c r="A139" s="54">
        <f>IF('Data Karyawan'!A134&lt;&gt;"", 'Data Karyawan'!A134, "")</f>
        <v>131</v>
      </c>
      <c r="B139" s="54" t="str">
        <f>IF('Data Karyawan'!B134&lt;&gt;"", 'Data Karyawan'!B134, "")</f>
        <v/>
      </c>
      <c r="C139" s="55" t="str">
        <f>IF('Data Karyawan'!C134&lt;&gt;"", 'Data Karyawan'!C134, "")</f>
        <v/>
      </c>
      <c r="D139" s="54" t="str">
        <f>IF('Data Karyawan'!D134&lt;&gt;"", 'Data Karyawan'!D134, "")</f>
        <v/>
      </c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4" t="str">
        <f t="shared" si="12"/>
        <v/>
      </c>
      <c r="AK139" s="54" t="str">
        <f t="shared" si="13"/>
        <v/>
      </c>
      <c r="AL139" s="54" t="str">
        <f t="shared" si="14"/>
        <v/>
      </c>
      <c r="AM139" s="54" t="str">
        <f t="shared" si="15"/>
        <v/>
      </c>
      <c r="AN139" s="54" t="str">
        <f t="shared" si="16"/>
        <v/>
      </c>
      <c r="AO139" s="56" t="e">
        <f t="shared" si="17"/>
        <v>#VALUE!</v>
      </c>
    </row>
    <row r="140" spans="1:41" x14ac:dyDescent="0.25">
      <c r="A140" s="54">
        <f>IF('Data Karyawan'!A135&lt;&gt;"", 'Data Karyawan'!A135, "")</f>
        <v>132</v>
      </c>
      <c r="B140" s="54" t="str">
        <f>IF('Data Karyawan'!B135&lt;&gt;"", 'Data Karyawan'!B135, "")</f>
        <v/>
      </c>
      <c r="C140" s="55" t="str">
        <f>IF('Data Karyawan'!C135&lt;&gt;"", 'Data Karyawan'!C135, "")</f>
        <v/>
      </c>
      <c r="D140" s="54" t="str">
        <f>IF('Data Karyawan'!D135&lt;&gt;"", 'Data Karyawan'!D135, "")</f>
        <v/>
      </c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4" t="str">
        <f t="shared" si="12"/>
        <v/>
      </c>
      <c r="AK140" s="54" t="str">
        <f t="shared" si="13"/>
        <v/>
      </c>
      <c r="AL140" s="54" t="str">
        <f t="shared" si="14"/>
        <v/>
      </c>
      <c r="AM140" s="54" t="str">
        <f t="shared" si="15"/>
        <v/>
      </c>
      <c r="AN140" s="54" t="str">
        <f t="shared" si="16"/>
        <v/>
      </c>
      <c r="AO140" s="56" t="e">
        <f t="shared" si="17"/>
        <v>#VALUE!</v>
      </c>
    </row>
    <row r="141" spans="1:41" x14ac:dyDescent="0.25">
      <c r="A141" s="54">
        <f>IF('Data Karyawan'!A136&lt;&gt;"", 'Data Karyawan'!A136, "")</f>
        <v>133</v>
      </c>
      <c r="B141" s="54" t="str">
        <f>IF('Data Karyawan'!B136&lt;&gt;"", 'Data Karyawan'!B136, "")</f>
        <v/>
      </c>
      <c r="C141" s="55" t="str">
        <f>IF('Data Karyawan'!C136&lt;&gt;"", 'Data Karyawan'!C136, "")</f>
        <v/>
      </c>
      <c r="D141" s="54" t="str">
        <f>IF('Data Karyawan'!D136&lt;&gt;"", 'Data Karyawan'!D136, "")</f>
        <v/>
      </c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4" t="str">
        <f t="shared" si="12"/>
        <v/>
      </c>
      <c r="AK141" s="54" t="str">
        <f t="shared" si="13"/>
        <v/>
      </c>
      <c r="AL141" s="54" t="str">
        <f t="shared" si="14"/>
        <v/>
      </c>
      <c r="AM141" s="54" t="str">
        <f t="shared" si="15"/>
        <v/>
      </c>
      <c r="AN141" s="54" t="str">
        <f t="shared" si="16"/>
        <v/>
      </c>
      <c r="AO141" s="56" t="e">
        <f t="shared" si="17"/>
        <v>#VALUE!</v>
      </c>
    </row>
    <row r="142" spans="1:41" x14ac:dyDescent="0.25">
      <c r="A142" s="54">
        <f>IF('Data Karyawan'!A137&lt;&gt;"", 'Data Karyawan'!A137, "")</f>
        <v>134</v>
      </c>
      <c r="B142" s="54" t="str">
        <f>IF('Data Karyawan'!B137&lt;&gt;"", 'Data Karyawan'!B137, "")</f>
        <v/>
      </c>
      <c r="C142" s="55" t="str">
        <f>IF('Data Karyawan'!C137&lt;&gt;"", 'Data Karyawan'!C137, "")</f>
        <v/>
      </c>
      <c r="D142" s="54" t="str">
        <f>IF('Data Karyawan'!D137&lt;&gt;"", 'Data Karyawan'!D137, "")</f>
        <v/>
      </c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4" t="str">
        <f t="shared" si="12"/>
        <v/>
      </c>
      <c r="AK142" s="54" t="str">
        <f t="shared" si="13"/>
        <v/>
      </c>
      <c r="AL142" s="54" t="str">
        <f t="shared" si="14"/>
        <v/>
      </c>
      <c r="AM142" s="54" t="str">
        <f t="shared" si="15"/>
        <v/>
      </c>
      <c r="AN142" s="54" t="str">
        <f t="shared" si="16"/>
        <v/>
      </c>
      <c r="AO142" s="56" t="e">
        <f t="shared" si="17"/>
        <v>#VALUE!</v>
      </c>
    </row>
    <row r="143" spans="1:41" x14ac:dyDescent="0.25">
      <c r="A143" s="54">
        <f>IF('Data Karyawan'!A138&lt;&gt;"", 'Data Karyawan'!A138, "")</f>
        <v>135</v>
      </c>
      <c r="B143" s="54" t="str">
        <f>IF('Data Karyawan'!B138&lt;&gt;"", 'Data Karyawan'!B138, "")</f>
        <v/>
      </c>
      <c r="C143" s="55" t="str">
        <f>IF('Data Karyawan'!C138&lt;&gt;"", 'Data Karyawan'!C138, "")</f>
        <v/>
      </c>
      <c r="D143" s="54" t="str">
        <f>IF('Data Karyawan'!D138&lt;&gt;"", 'Data Karyawan'!D138, "")</f>
        <v/>
      </c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4" t="str">
        <f t="shared" si="12"/>
        <v/>
      </c>
      <c r="AK143" s="54" t="str">
        <f t="shared" si="13"/>
        <v/>
      </c>
      <c r="AL143" s="54" t="str">
        <f t="shared" si="14"/>
        <v/>
      </c>
      <c r="AM143" s="54" t="str">
        <f t="shared" si="15"/>
        <v/>
      </c>
      <c r="AN143" s="54" t="str">
        <f t="shared" si="16"/>
        <v/>
      </c>
      <c r="AO143" s="56" t="e">
        <f t="shared" si="17"/>
        <v>#VALUE!</v>
      </c>
    </row>
    <row r="144" spans="1:41" x14ac:dyDescent="0.25">
      <c r="A144" s="54">
        <f>IF('Data Karyawan'!A139&lt;&gt;"", 'Data Karyawan'!A139, "")</f>
        <v>136</v>
      </c>
      <c r="B144" s="54" t="str">
        <f>IF('Data Karyawan'!B139&lt;&gt;"", 'Data Karyawan'!B139, "")</f>
        <v/>
      </c>
      <c r="C144" s="55" t="str">
        <f>IF('Data Karyawan'!C139&lt;&gt;"", 'Data Karyawan'!C139, "")</f>
        <v/>
      </c>
      <c r="D144" s="54" t="str">
        <f>IF('Data Karyawan'!D139&lt;&gt;"", 'Data Karyawan'!D139, "")</f>
        <v/>
      </c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4" t="str">
        <f t="shared" si="12"/>
        <v/>
      </c>
      <c r="AK144" s="54" t="str">
        <f t="shared" si="13"/>
        <v/>
      </c>
      <c r="AL144" s="54" t="str">
        <f t="shared" si="14"/>
        <v/>
      </c>
      <c r="AM144" s="54" t="str">
        <f t="shared" si="15"/>
        <v/>
      </c>
      <c r="AN144" s="54" t="str">
        <f t="shared" si="16"/>
        <v/>
      </c>
      <c r="AO144" s="56" t="e">
        <f t="shared" si="17"/>
        <v>#VALUE!</v>
      </c>
    </row>
    <row r="145" spans="1:41" x14ac:dyDescent="0.25">
      <c r="A145" s="54">
        <f>IF('Data Karyawan'!A140&lt;&gt;"", 'Data Karyawan'!A140, "")</f>
        <v>137</v>
      </c>
      <c r="B145" s="54" t="str">
        <f>IF('Data Karyawan'!B140&lt;&gt;"", 'Data Karyawan'!B140, "")</f>
        <v/>
      </c>
      <c r="C145" s="55" t="str">
        <f>IF('Data Karyawan'!C140&lt;&gt;"", 'Data Karyawan'!C140, "")</f>
        <v/>
      </c>
      <c r="D145" s="54" t="str">
        <f>IF('Data Karyawan'!D140&lt;&gt;"", 'Data Karyawan'!D140, "")</f>
        <v/>
      </c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4" t="str">
        <f t="shared" si="12"/>
        <v/>
      </c>
      <c r="AK145" s="54" t="str">
        <f t="shared" si="13"/>
        <v/>
      </c>
      <c r="AL145" s="54" t="str">
        <f t="shared" si="14"/>
        <v/>
      </c>
      <c r="AM145" s="54" t="str">
        <f t="shared" si="15"/>
        <v/>
      </c>
      <c r="AN145" s="54" t="str">
        <f t="shared" si="16"/>
        <v/>
      </c>
      <c r="AO145" s="56" t="e">
        <f t="shared" si="17"/>
        <v>#VALUE!</v>
      </c>
    </row>
    <row r="146" spans="1:41" x14ac:dyDescent="0.25">
      <c r="A146" s="54">
        <f>IF('Data Karyawan'!A141&lt;&gt;"", 'Data Karyawan'!A141, "")</f>
        <v>138</v>
      </c>
      <c r="B146" s="54" t="str">
        <f>IF('Data Karyawan'!B141&lt;&gt;"", 'Data Karyawan'!B141, "")</f>
        <v/>
      </c>
      <c r="C146" s="55" t="str">
        <f>IF('Data Karyawan'!C141&lt;&gt;"", 'Data Karyawan'!C141, "")</f>
        <v/>
      </c>
      <c r="D146" s="54" t="str">
        <f>IF('Data Karyawan'!D141&lt;&gt;"", 'Data Karyawan'!D141, "")</f>
        <v/>
      </c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4" t="str">
        <f t="shared" si="12"/>
        <v/>
      </c>
      <c r="AK146" s="54" t="str">
        <f t="shared" si="13"/>
        <v/>
      </c>
      <c r="AL146" s="54" t="str">
        <f t="shared" si="14"/>
        <v/>
      </c>
      <c r="AM146" s="54" t="str">
        <f t="shared" si="15"/>
        <v/>
      </c>
      <c r="AN146" s="54" t="str">
        <f t="shared" si="16"/>
        <v/>
      </c>
      <c r="AO146" s="56" t="e">
        <f t="shared" si="17"/>
        <v>#VALUE!</v>
      </c>
    </row>
    <row r="147" spans="1:41" x14ac:dyDescent="0.25">
      <c r="A147" s="54">
        <f>IF('Data Karyawan'!A142&lt;&gt;"", 'Data Karyawan'!A142, "")</f>
        <v>139</v>
      </c>
      <c r="B147" s="54" t="str">
        <f>IF('Data Karyawan'!B142&lt;&gt;"", 'Data Karyawan'!B142, "")</f>
        <v/>
      </c>
      <c r="C147" s="55" t="str">
        <f>IF('Data Karyawan'!C142&lt;&gt;"", 'Data Karyawan'!C142, "")</f>
        <v/>
      </c>
      <c r="D147" s="54" t="str">
        <f>IF('Data Karyawan'!D142&lt;&gt;"", 'Data Karyawan'!D142, "")</f>
        <v/>
      </c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4" t="str">
        <f t="shared" si="12"/>
        <v/>
      </c>
      <c r="AK147" s="54" t="str">
        <f t="shared" si="13"/>
        <v/>
      </c>
      <c r="AL147" s="54" t="str">
        <f t="shared" si="14"/>
        <v/>
      </c>
      <c r="AM147" s="54" t="str">
        <f t="shared" si="15"/>
        <v/>
      </c>
      <c r="AN147" s="54" t="str">
        <f t="shared" si="16"/>
        <v/>
      </c>
      <c r="AO147" s="56" t="e">
        <f t="shared" si="17"/>
        <v>#VALUE!</v>
      </c>
    </row>
    <row r="148" spans="1:41" x14ac:dyDescent="0.25">
      <c r="A148" s="54">
        <f>IF('Data Karyawan'!A143&lt;&gt;"", 'Data Karyawan'!A143, "")</f>
        <v>140</v>
      </c>
      <c r="B148" s="54" t="str">
        <f>IF('Data Karyawan'!B143&lt;&gt;"", 'Data Karyawan'!B143, "")</f>
        <v/>
      </c>
      <c r="C148" s="55" t="str">
        <f>IF('Data Karyawan'!C143&lt;&gt;"", 'Data Karyawan'!C143, "")</f>
        <v/>
      </c>
      <c r="D148" s="54" t="str">
        <f>IF('Data Karyawan'!D143&lt;&gt;"", 'Data Karyawan'!D143, "")</f>
        <v/>
      </c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4" t="str">
        <f t="shared" si="12"/>
        <v/>
      </c>
      <c r="AK148" s="54" t="str">
        <f t="shared" si="13"/>
        <v/>
      </c>
      <c r="AL148" s="54" t="str">
        <f t="shared" si="14"/>
        <v/>
      </c>
      <c r="AM148" s="54" t="str">
        <f t="shared" si="15"/>
        <v/>
      </c>
      <c r="AN148" s="54" t="str">
        <f t="shared" si="16"/>
        <v/>
      </c>
      <c r="AO148" s="56" t="e">
        <f t="shared" si="17"/>
        <v>#VALUE!</v>
      </c>
    </row>
    <row r="149" spans="1:41" x14ac:dyDescent="0.25">
      <c r="A149" s="54">
        <f>IF('Data Karyawan'!A144&lt;&gt;"", 'Data Karyawan'!A144, "")</f>
        <v>141</v>
      </c>
      <c r="B149" s="54" t="str">
        <f>IF('Data Karyawan'!B144&lt;&gt;"", 'Data Karyawan'!B144, "")</f>
        <v/>
      </c>
      <c r="C149" s="55" t="str">
        <f>IF('Data Karyawan'!C144&lt;&gt;"", 'Data Karyawan'!C144, "")</f>
        <v/>
      </c>
      <c r="D149" s="54" t="str">
        <f>IF('Data Karyawan'!D144&lt;&gt;"", 'Data Karyawan'!D144, "")</f>
        <v/>
      </c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4" t="str">
        <f t="shared" si="12"/>
        <v/>
      </c>
      <c r="AK149" s="54" t="str">
        <f t="shared" si="13"/>
        <v/>
      </c>
      <c r="AL149" s="54" t="str">
        <f t="shared" si="14"/>
        <v/>
      </c>
      <c r="AM149" s="54" t="str">
        <f t="shared" si="15"/>
        <v/>
      </c>
      <c r="AN149" s="54" t="str">
        <f t="shared" si="16"/>
        <v/>
      </c>
      <c r="AO149" s="56" t="e">
        <f t="shared" si="17"/>
        <v>#VALUE!</v>
      </c>
    </row>
    <row r="150" spans="1:41" x14ac:dyDescent="0.25">
      <c r="A150" s="54">
        <f>IF('Data Karyawan'!A145&lt;&gt;"", 'Data Karyawan'!A145, "")</f>
        <v>142</v>
      </c>
      <c r="B150" s="54" t="str">
        <f>IF('Data Karyawan'!B145&lt;&gt;"", 'Data Karyawan'!B145, "")</f>
        <v/>
      </c>
      <c r="C150" s="55" t="str">
        <f>IF('Data Karyawan'!C145&lt;&gt;"", 'Data Karyawan'!C145, "")</f>
        <v/>
      </c>
      <c r="D150" s="54" t="str">
        <f>IF('Data Karyawan'!D145&lt;&gt;"", 'Data Karyawan'!D145, "")</f>
        <v/>
      </c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4" t="str">
        <f t="shared" si="12"/>
        <v/>
      </c>
      <c r="AK150" s="54" t="str">
        <f t="shared" si="13"/>
        <v/>
      </c>
      <c r="AL150" s="54" t="str">
        <f t="shared" si="14"/>
        <v/>
      </c>
      <c r="AM150" s="54" t="str">
        <f t="shared" si="15"/>
        <v/>
      </c>
      <c r="AN150" s="54" t="str">
        <f t="shared" si="16"/>
        <v/>
      </c>
      <c r="AO150" s="56" t="e">
        <f t="shared" si="17"/>
        <v>#VALUE!</v>
      </c>
    </row>
    <row r="151" spans="1:41" x14ac:dyDescent="0.25">
      <c r="A151" s="54">
        <f>IF('Data Karyawan'!A146&lt;&gt;"", 'Data Karyawan'!A146, "")</f>
        <v>143</v>
      </c>
      <c r="B151" s="54" t="str">
        <f>IF('Data Karyawan'!B146&lt;&gt;"", 'Data Karyawan'!B146, "")</f>
        <v/>
      </c>
      <c r="C151" s="55" t="str">
        <f>IF('Data Karyawan'!C146&lt;&gt;"", 'Data Karyawan'!C146, "")</f>
        <v/>
      </c>
      <c r="D151" s="54" t="str">
        <f>IF('Data Karyawan'!D146&lt;&gt;"", 'Data Karyawan'!D146, "")</f>
        <v/>
      </c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4" t="str">
        <f t="shared" si="12"/>
        <v/>
      </c>
      <c r="AK151" s="54" t="str">
        <f t="shared" si="13"/>
        <v/>
      </c>
      <c r="AL151" s="54" t="str">
        <f t="shared" si="14"/>
        <v/>
      </c>
      <c r="AM151" s="54" t="str">
        <f t="shared" si="15"/>
        <v/>
      </c>
      <c r="AN151" s="54" t="str">
        <f t="shared" si="16"/>
        <v/>
      </c>
      <c r="AO151" s="56" t="e">
        <f t="shared" si="17"/>
        <v>#VALUE!</v>
      </c>
    </row>
    <row r="152" spans="1:41" x14ac:dyDescent="0.25">
      <c r="A152" s="54">
        <f>IF('Data Karyawan'!A147&lt;&gt;"", 'Data Karyawan'!A147, "")</f>
        <v>144</v>
      </c>
      <c r="B152" s="54" t="str">
        <f>IF('Data Karyawan'!B147&lt;&gt;"", 'Data Karyawan'!B147, "")</f>
        <v/>
      </c>
      <c r="C152" s="55" t="str">
        <f>IF('Data Karyawan'!C147&lt;&gt;"", 'Data Karyawan'!C147, "")</f>
        <v/>
      </c>
      <c r="D152" s="54" t="str">
        <f>IF('Data Karyawan'!D147&lt;&gt;"", 'Data Karyawan'!D147, "")</f>
        <v/>
      </c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4" t="str">
        <f t="shared" si="12"/>
        <v/>
      </c>
      <c r="AK152" s="54" t="str">
        <f t="shared" si="13"/>
        <v/>
      </c>
      <c r="AL152" s="54" t="str">
        <f t="shared" si="14"/>
        <v/>
      </c>
      <c r="AM152" s="54" t="str">
        <f t="shared" si="15"/>
        <v/>
      </c>
      <c r="AN152" s="54" t="str">
        <f t="shared" si="16"/>
        <v/>
      </c>
      <c r="AO152" s="56" t="e">
        <f t="shared" si="17"/>
        <v>#VALUE!</v>
      </c>
    </row>
    <row r="153" spans="1:41" x14ac:dyDescent="0.25">
      <c r="A153" s="54">
        <f>IF('Data Karyawan'!A148&lt;&gt;"", 'Data Karyawan'!A148, "")</f>
        <v>145</v>
      </c>
      <c r="B153" s="54" t="str">
        <f>IF('Data Karyawan'!B148&lt;&gt;"", 'Data Karyawan'!B148, "")</f>
        <v/>
      </c>
      <c r="C153" s="55" t="str">
        <f>IF('Data Karyawan'!C148&lt;&gt;"", 'Data Karyawan'!C148, "")</f>
        <v/>
      </c>
      <c r="D153" s="54" t="str">
        <f>IF('Data Karyawan'!D148&lt;&gt;"", 'Data Karyawan'!D148, "")</f>
        <v/>
      </c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4" t="str">
        <f t="shared" si="12"/>
        <v/>
      </c>
      <c r="AK153" s="54" t="str">
        <f t="shared" si="13"/>
        <v/>
      </c>
      <c r="AL153" s="54" t="str">
        <f t="shared" si="14"/>
        <v/>
      </c>
      <c r="AM153" s="54" t="str">
        <f t="shared" si="15"/>
        <v/>
      </c>
      <c r="AN153" s="54" t="str">
        <f t="shared" si="16"/>
        <v/>
      </c>
      <c r="AO153" s="56" t="e">
        <f t="shared" si="17"/>
        <v>#VALUE!</v>
      </c>
    </row>
    <row r="154" spans="1:41" x14ac:dyDescent="0.25">
      <c r="A154" s="54">
        <f>IF('Data Karyawan'!A149&lt;&gt;"", 'Data Karyawan'!A149, "")</f>
        <v>146</v>
      </c>
      <c r="B154" s="54" t="str">
        <f>IF('Data Karyawan'!B149&lt;&gt;"", 'Data Karyawan'!B149, "")</f>
        <v/>
      </c>
      <c r="C154" s="55" t="str">
        <f>IF('Data Karyawan'!C149&lt;&gt;"", 'Data Karyawan'!C149, "")</f>
        <v/>
      </c>
      <c r="D154" s="54" t="str">
        <f>IF('Data Karyawan'!D149&lt;&gt;"", 'Data Karyawan'!D149, "")</f>
        <v/>
      </c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4" t="str">
        <f t="shared" si="12"/>
        <v/>
      </c>
      <c r="AK154" s="54" t="str">
        <f t="shared" si="13"/>
        <v/>
      </c>
      <c r="AL154" s="54" t="str">
        <f t="shared" si="14"/>
        <v/>
      </c>
      <c r="AM154" s="54" t="str">
        <f t="shared" si="15"/>
        <v/>
      </c>
      <c r="AN154" s="54" t="str">
        <f t="shared" si="16"/>
        <v/>
      </c>
      <c r="AO154" s="56" t="e">
        <f t="shared" si="17"/>
        <v>#VALUE!</v>
      </c>
    </row>
    <row r="155" spans="1:41" x14ac:dyDescent="0.25">
      <c r="A155" s="54">
        <f>IF('Data Karyawan'!A150&lt;&gt;"", 'Data Karyawan'!A150, "")</f>
        <v>147</v>
      </c>
      <c r="B155" s="54" t="str">
        <f>IF('Data Karyawan'!B150&lt;&gt;"", 'Data Karyawan'!B150, "")</f>
        <v/>
      </c>
      <c r="C155" s="55" t="str">
        <f>IF('Data Karyawan'!C150&lt;&gt;"", 'Data Karyawan'!C150, "")</f>
        <v/>
      </c>
      <c r="D155" s="54" t="str">
        <f>IF('Data Karyawan'!D150&lt;&gt;"", 'Data Karyawan'!D150, "")</f>
        <v/>
      </c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4" t="str">
        <f t="shared" si="12"/>
        <v/>
      </c>
      <c r="AK155" s="54" t="str">
        <f t="shared" si="13"/>
        <v/>
      </c>
      <c r="AL155" s="54" t="str">
        <f t="shared" si="14"/>
        <v/>
      </c>
      <c r="AM155" s="54" t="str">
        <f t="shared" si="15"/>
        <v/>
      </c>
      <c r="AN155" s="54" t="str">
        <f t="shared" si="16"/>
        <v/>
      </c>
      <c r="AO155" s="56" t="e">
        <f t="shared" si="17"/>
        <v>#VALUE!</v>
      </c>
    </row>
    <row r="156" spans="1:41" x14ac:dyDescent="0.25">
      <c r="A156" s="54">
        <f>IF('Data Karyawan'!A151&lt;&gt;"", 'Data Karyawan'!A151, "")</f>
        <v>148</v>
      </c>
      <c r="B156" s="54" t="str">
        <f>IF('Data Karyawan'!B151&lt;&gt;"", 'Data Karyawan'!B151, "")</f>
        <v/>
      </c>
      <c r="C156" s="55" t="str">
        <f>IF('Data Karyawan'!C151&lt;&gt;"", 'Data Karyawan'!C151, "")</f>
        <v/>
      </c>
      <c r="D156" s="54" t="str">
        <f>IF('Data Karyawan'!D151&lt;&gt;"", 'Data Karyawan'!D151, "")</f>
        <v/>
      </c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4" t="str">
        <f t="shared" si="12"/>
        <v/>
      </c>
      <c r="AK156" s="54" t="str">
        <f t="shared" si="13"/>
        <v/>
      </c>
      <c r="AL156" s="54" t="str">
        <f t="shared" si="14"/>
        <v/>
      </c>
      <c r="AM156" s="54" t="str">
        <f t="shared" si="15"/>
        <v/>
      </c>
      <c r="AN156" s="54" t="str">
        <f t="shared" si="16"/>
        <v/>
      </c>
      <c r="AO156" s="56" t="e">
        <f t="shared" si="17"/>
        <v>#VALUE!</v>
      </c>
    </row>
    <row r="157" spans="1:41" x14ac:dyDescent="0.25">
      <c r="A157" s="54">
        <f>IF('Data Karyawan'!A152&lt;&gt;"", 'Data Karyawan'!A152, "")</f>
        <v>149</v>
      </c>
      <c r="B157" s="54" t="str">
        <f>IF('Data Karyawan'!B152&lt;&gt;"", 'Data Karyawan'!B152, "")</f>
        <v/>
      </c>
      <c r="C157" s="55" t="str">
        <f>IF('Data Karyawan'!C152&lt;&gt;"", 'Data Karyawan'!C152, "")</f>
        <v/>
      </c>
      <c r="D157" s="54" t="str">
        <f>IF('Data Karyawan'!D152&lt;&gt;"", 'Data Karyawan'!D152, "")</f>
        <v/>
      </c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4" t="str">
        <f t="shared" si="12"/>
        <v/>
      </c>
      <c r="AK157" s="54" t="str">
        <f t="shared" si="13"/>
        <v/>
      </c>
      <c r="AL157" s="54" t="str">
        <f t="shared" si="14"/>
        <v/>
      </c>
      <c r="AM157" s="54" t="str">
        <f t="shared" si="15"/>
        <v/>
      </c>
      <c r="AN157" s="54" t="str">
        <f t="shared" si="16"/>
        <v/>
      </c>
      <c r="AO157" s="56" t="e">
        <f t="shared" si="17"/>
        <v>#VALUE!</v>
      </c>
    </row>
    <row r="158" spans="1:41" x14ac:dyDescent="0.25">
      <c r="A158" s="54">
        <f>IF('Data Karyawan'!A153&lt;&gt;"", 'Data Karyawan'!A153, "")</f>
        <v>150</v>
      </c>
      <c r="B158" s="54" t="str">
        <f>IF('Data Karyawan'!B153&lt;&gt;"", 'Data Karyawan'!B153, "")</f>
        <v/>
      </c>
      <c r="C158" s="55" t="str">
        <f>IF('Data Karyawan'!C153&lt;&gt;"", 'Data Karyawan'!C153, "")</f>
        <v/>
      </c>
      <c r="D158" s="54" t="str">
        <f>IF('Data Karyawan'!D153&lt;&gt;"", 'Data Karyawan'!D153, "")</f>
        <v/>
      </c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4" t="str">
        <f t="shared" si="12"/>
        <v/>
      </c>
      <c r="AK158" s="54" t="str">
        <f t="shared" si="13"/>
        <v/>
      </c>
      <c r="AL158" s="54" t="str">
        <f t="shared" si="14"/>
        <v/>
      </c>
      <c r="AM158" s="54" t="str">
        <f t="shared" si="15"/>
        <v/>
      </c>
      <c r="AN158" s="54" t="str">
        <f t="shared" si="16"/>
        <v/>
      </c>
      <c r="AO158" s="56" t="e">
        <f t="shared" si="17"/>
        <v>#VALUE!</v>
      </c>
    </row>
    <row r="159" spans="1:41" x14ac:dyDescent="0.25">
      <c r="A159" s="54">
        <f>IF('Data Karyawan'!A154&lt;&gt;"", 'Data Karyawan'!A154, "")</f>
        <v>151</v>
      </c>
      <c r="B159" s="54" t="str">
        <f>IF('Data Karyawan'!B154&lt;&gt;"", 'Data Karyawan'!B154, "")</f>
        <v/>
      </c>
      <c r="C159" s="55" t="str">
        <f>IF('Data Karyawan'!C154&lt;&gt;"", 'Data Karyawan'!C154, "")</f>
        <v/>
      </c>
      <c r="D159" s="54" t="str">
        <f>IF('Data Karyawan'!D154&lt;&gt;"", 'Data Karyawan'!D154, "")</f>
        <v/>
      </c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4" t="str">
        <f t="shared" si="12"/>
        <v/>
      </c>
      <c r="AK159" s="54" t="str">
        <f t="shared" si="13"/>
        <v/>
      </c>
      <c r="AL159" s="54" t="str">
        <f t="shared" si="14"/>
        <v/>
      </c>
      <c r="AM159" s="54" t="str">
        <f t="shared" si="15"/>
        <v/>
      </c>
      <c r="AN159" s="54" t="str">
        <f t="shared" si="16"/>
        <v/>
      </c>
      <c r="AO159" s="56" t="e">
        <f t="shared" si="17"/>
        <v>#VALUE!</v>
      </c>
    </row>
    <row r="160" spans="1:41" x14ac:dyDescent="0.25">
      <c r="A160" s="54">
        <f>IF('Data Karyawan'!A155&lt;&gt;"", 'Data Karyawan'!A155, "")</f>
        <v>152</v>
      </c>
      <c r="B160" s="54" t="str">
        <f>IF('Data Karyawan'!B155&lt;&gt;"", 'Data Karyawan'!B155, "")</f>
        <v/>
      </c>
      <c r="C160" s="55" t="str">
        <f>IF('Data Karyawan'!C155&lt;&gt;"", 'Data Karyawan'!C155, "")</f>
        <v/>
      </c>
      <c r="D160" s="54" t="str">
        <f>IF('Data Karyawan'!D155&lt;&gt;"", 'Data Karyawan'!D155, "")</f>
        <v/>
      </c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4" t="str">
        <f t="shared" si="12"/>
        <v/>
      </c>
      <c r="AK160" s="54" t="str">
        <f t="shared" si="13"/>
        <v/>
      </c>
      <c r="AL160" s="54" t="str">
        <f t="shared" si="14"/>
        <v/>
      </c>
      <c r="AM160" s="54" t="str">
        <f t="shared" si="15"/>
        <v/>
      </c>
      <c r="AN160" s="54" t="str">
        <f t="shared" si="16"/>
        <v/>
      </c>
      <c r="AO160" s="56" t="e">
        <f t="shared" si="17"/>
        <v>#VALUE!</v>
      </c>
    </row>
    <row r="161" spans="1:41" x14ac:dyDescent="0.25">
      <c r="A161" s="54">
        <f>IF('Data Karyawan'!A156&lt;&gt;"", 'Data Karyawan'!A156, "")</f>
        <v>153</v>
      </c>
      <c r="B161" s="54" t="str">
        <f>IF('Data Karyawan'!B156&lt;&gt;"", 'Data Karyawan'!B156, "")</f>
        <v/>
      </c>
      <c r="C161" s="55" t="str">
        <f>IF('Data Karyawan'!C156&lt;&gt;"", 'Data Karyawan'!C156, "")</f>
        <v/>
      </c>
      <c r="D161" s="54" t="str">
        <f>IF('Data Karyawan'!D156&lt;&gt;"", 'Data Karyawan'!D156, "")</f>
        <v/>
      </c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4" t="str">
        <f t="shared" si="12"/>
        <v/>
      </c>
      <c r="AK161" s="54" t="str">
        <f t="shared" si="13"/>
        <v/>
      </c>
      <c r="AL161" s="54" t="str">
        <f t="shared" si="14"/>
        <v/>
      </c>
      <c r="AM161" s="54" t="str">
        <f t="shared" si="15"/>
        <v/>
      </c>
      <c r="AN161" s="54" t="str">
        <f t="shared" si="16"/>
        <v/>
      </c>
      <c r="AO161" s="56" t="e">
        <f t="shared" si="17"/>
        <v>#VALUE!</v>
      </c>
    </row>
    <row r="162" spans="1:41" x14ac:dyDescent="0.25">
      <c r="A162" s="54">
        <f>IF('Data Karyawan'!A157&lt;&gt;"", 'Data Karyawan'!A157, "")</f>
        <v>154</v>
      </c>
      <c r="B162" s="54" t="str">
        <f>IF('Data Karyawan'!B157&lt;&gt;"", 'Data Karyawan'!B157, "")</f>
        <v/>
      </c>
      <c r="C162" s="55" t="str">
        <f>IF('Data Karyawan'!C157&lt;&gt;"", 'Data Karyawan'!C157, "")</f>
        <v/>
      </c>
      <c r="D162" s="54" t="str">
        <f>IF('Data Karyawan'!D157&lt;&gt;"", 'Data Karyawan'!D157, "")</f>
        <v/>
      </c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4" t="str">
        <f t="shared" si="12"/>
        <v/>
      </c>
      <c r="AK162" s="54" t="str">
        <f t="shared" si="13"/>
        <v/>
      </c>
      <c r="AL162" s="54" t="str">
        <f t="shared" si="14"/>
        <v/>
      </c>
      <c r="AM162" s="54" t="str">
        <f t="shared" si="15"/>
        <v/>
      </c>
      <c r="AN162" s="54" t="str">
        <f t="shared" si="16"/>
        <v/>
      </c>
      <c r="AO162" s="56" t="e">
        <f t="shared" si="17"/>
        <v>#VALUE!</v>
      </c>
    </row>
    <row r="163" spans="1:41" x14ac:dyDescent="0.25">
      <c r="A163" s="54">
        <f>IF('Data Karyawan'!A158&lt;&gt;"", 'Data Karyawan'!A158, "")</f>
        <v>155</v>
      </c>
      <c r="B163" s="54" t="str">
        <f>IF('Data Karyawan'!B158&lt;&gt;"", 'Data Karyawan'!B158, "")</f>
        <v/>
      </c>
      <c r="C163" s="55" t="str">
        <f>IF('Data Karyawan'!C158&lt;&gt;"", 'Data Karyawan'!C158, "")</f>
        <v/>
      </c>
      <c r="D163" s="54" t="str">
        <f>IF('Data Karyawan'!D158&lt;&gt;"", 'Data Karyawan'!D158, "")</f>
        <v/>
      </c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4" t="str">
        <f t="shared" si="12"/>
        <v/>
      </c>
      <c r="AK163" s="54" t="str">
        <f t="shared" si="13"/>
        <v/>
      </c>
      <c r="AL163" s="54" t="str">
        <f t="shared" si="14"/>
        <v/>
      </c>
      <c r="AM163" s="54" t="str">
        <f t="shared" si="15"/>
        <v/>
      </c>
      <c r="AN163" s="54" t="str">
        <f t="shared" si="16"/>
        <v/>
      </c>
      <c r="AO163" s="56" t="e">
        <f t="shared" si="17"/>
        <v>#VALUE!</v>
      </c>
    </row>
    <row r="164" spans="1:41" x14ac:dyDescent="0.25">
      <c r="A164" s="54">
        <f>IF('Data Karyawan'!A159&lt;&gt;"", 'Data Karyawan'!A159, "")</f>
        <v>156</v>
      </c>
      <c r="B164" s="54" t="str">
        <f>IF('Data Karyawan'!B159&lt;&gt;"", 'Data Karyawan'!B159, "")</f>
        <v/>
      </c>
      <c r="C164" s="55" t="str">
        <f>IF('Data Karyawan'!C159&lt;&gt;"", 'Data Karyawan'!C159, "")</f>
        <v/>
      </c>
      <c r="D164" s="54" t="str">
        <f>IF('Data Karyawan'!D159&lt;&gt;"", 'Data Karyawan'!D159, "")</f>
        <v/>
      </c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4" t="str">
        <f t="shared" si="12"/>
        <v/>
      </c>
      <c r="AK164" s="54" t="str">
        <f t="shared" si="13"/>
        <v/>
      </c>
      <c r="AL164" s="54" t="str">
        <f t="shared" si="14"/>
        <v/>
      </c>
      <c r="AM164" s="54" t="str">
        <f t="shared" si="15"/>
        <v/>
      </c>
      <c r="AN164" s="54" t="str">
        <f t="shared" si="16"/>
        <v/>
      </c>
      <c r="AO164" s="56" t="e">
        <f t="shared" si="17"/>
        <v>#VALUE!</v>
      </c>
    </row>
    <row r="165" spans="1:41" x14ac:dyDescent="0.25">
      <c r="A165" s="54">
        <f>IF('Data Karyawan'!A160&lt;&gt;"", 'Data Karyawan'!A160, "")</f>
        <v>157</v>
      </c>
      <c r="B165" s="54" t="str">
        <f>IF('Data Karyawan'!B160&lt;&gt;"", 'Data Karyawan'!B160, "")</f>
        <v/>
      </c>
      <c r="C165" s="55" t="str">
        <f>IF('Data Karyawan'!C160&lt;&gt;"", 'Data Karyawan'!C160, "")</f>
        <v/>
      </c>
      <c r="D165" s="54" t="str">
        <f>IF('Data Karyawan'!D160&lt;&gt;"", 'Data Karyawan'!D160, "")</f>
        <v/>
      </c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4" t="str">
        <f t="shared" si="12"/>
        <v/>
      </c>
      <c r="AK165" s="54" t="str">
        <f t="shared" si="13"/>
        <v/>
      </c>
      <c r="AL165" s="54" t="str">
        <f t="shared" si="14"/>
        <v/>
      </c>
      <c r="AM165" s="54" t="str">
        <f t="shared" si="15"/>
        <v/>
      </c>
      <c r="AN165" s="54" t="str">
        <f t="shared" si="16"/>
        <v/>
      </c>
      <c r="AO165" s="56" t="e">
        <f t="shared" si="17"/>
        <v>#VALUE!</v>
      </c>
    </row>
    <row r="166" spans="1:41" x14ac:dyDescent="0.25">
      <c r="A166" s="54">
        <f>IF('Data Karyawan'!A161&lt;&gt;"", 'Data Karyawan'!A161, "")</f>
        <v>158</v>
      </c>
      <c r="B166" s="54" t="str">
        <f>IF('Data Karyawan'!B161&lt;&gt;"", 'Data Karyawan'!B161, "")</f>
        <v/>
      </c>
      <c r="C166" s="55" t="str">
        <f>IF('Data Karyawan'!C161&lt;&gt;"", 'Data Karyawan'!C161, "")</f>
        <v/>
      </c>
      <c r="D166" s="54" t="str">
        <f>IF('Data Karyawan'!D161&lt;&gt;"", 'Data Karyawan'!D161, "")</f>
        <v/>
      </c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4" t="str">
        <f t="shared" si="12"/>
        <v/>
      </c>
      <c r="AK166" s="54" t="str">
        <f t="shared" si="13"/>
        <v/>
      </c>
      <c r="AL166" s="54" t="str">
        <f t="shared" si="14"/>
        <v/>
      </c>
      <c r="AM166" s="54" t="str">
        <f t="shared" si="15"/>
        <v/>
      </c>
      <c r="AN166" s="54" t="str">
        <f t="shared" si="16"/>
        <v/>
      </c>
      <c r="AO166" s="56" t="e">
        <f t="shared" si="17"/>
        <v>#VALUE!</v>
      </c>
    </row>
    <row r="167" spans="1:41" x14ac:dyDescent="0.25">
      <c r="A167" s="54">
        <f>IF('Data Karyawan'!A162&lt;&gt;"", 'Data Karyawan'!A162, "")</f>
        <v>159</v>
      </c>
      <c r="B167" s="54" t="str">
        <f>IF('Data Karyawan'!B162&lt;&gt;"", 'Data Karyawan'!B162, "")</f>
        <v/>
      </c>
      <c r="C167" s="55" t="str">
        <f>IF('Data Karyawan'!C162&lt;&gt;"", 'Data Karyawan'!C162, "")</f>
        <v/>
      </c>
      <c r="D167" s="54" t="str">
        <f>IF('Data Karyawan'!D162&lt;&gt;"", 'Data Karyawan'!D162, "")</f>
        <v/>
      </c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4" t="str">
        <f t="shared" si="12"/>
        <v/>
      </c>
      <c r="AK167" s="54" t="str">
        <f t="shared" si="13"/>
        <v/>
      </c>
      <c r="AL167" s="54" t="str">
        <f t="shared" si="14"/>
        <v/>
      </c>
      <c r="AM167" s="54" t="str">
        <f t="shared" si="15"/>
        <v/>
      </c>
      <c r="AN167" s="54" t="str">
        <f t="shared" si="16"/>
        <v/>
      </c>
      <c r="AO167" s="56" t="e">
        <f t="shared" si="17"/>
        <v>#VALUE!</v>
      </c>
    </row>
    <row r="168" spans="1:41" x14ac:dyDescent="0.25">
      <c r="A168" s="54">
        <f>IF('Data Karyawan'!A163&lt;&gt;"", 'Data Karyawan'!A163, "")</f>
        <v>160</v>
      </c>
      <c r="B168" s="54" t="str">
        <f>IF('Data Karyawan'!B163&lt;&gt;"", 'Data Karyawan'!B163, "")</f>
        <v/>
      </c>
      <c r="C168" s="55" t="str">
        <f>IF('Data Karyawan'!C163&lt;&gt;"", 'Data Karyawan'!C163, "")</f>
        <v/>
      </c>
      <c r="D168" s="54" t="str">
        <f>IF('Data Karyawan'!D163&lt;&gt;"", 'Data Karyawan'!D163, "")</f>
        <v/>
      </c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4" t="str">
        <f t="shared" si="12"/>
        <v/>
      </c>
      <c r="AK168" s="54" t="str">
        <f t="shared" si="13"/>
        <v/>
      </c>
      <c r="AL168" s="54" t="str">
        <f t="shared" si="14"/>
        <v/>
      </c>
      <c r="AM168" s="54" t="str">
        <f t="shared" si="15"/>
        <v/>
      </c>
      <c r="AN168" s="54" t="str">
        <f t="shared" si="16"/>
        <v/>
      </c>
      <c r="AO168" s="56" t="e">
        <f t="shared" si="17"/>
        <v>#VALUE!</v>
      </c>
    </row>
    <row r="169" spans="1:41" x14ac:dyDescent="0.25">
      <c r="A169" s="54">
        <f>IF('Data Karyawan'!A164&lt;&gt;"", 'Data Karyawan'!A164, "")</f>
        <v>161</v>
      </c>
      <c r="B169" s="54" t="str">
        <f>IF('Data Karyawan'!B164&lt;&gt;"", 'Data Karyawan'!B164, "")</f>
        <v/>
      </c>
      <c r="C169" s="55" t="str">
        <f>IF('Data Karyawan'!C164&lt;&gt;"", 'Data Karyawan'!C164, "")</f>
        <v/>
      </c>
      <c r="D169" s="54" t="str">
        <f>IF('Data Karyawan'!D164&lt;&gt;"", 'Data Karyawan'!D164, "")</f>
        <v/>
      </c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4" t="str">
        <f t="shared" si="12"/>
        <v/>
      </c>
      <c r="AK169" s="54" t="str">
        <f t="shared" si="13"/>
        <v/>
      </c>
      <c r="AL169" s="54" t="str">
        <f t="shared" si="14"/>
        <v/>
      </c>
      <c r="AM169" s="54" t="str">
        <f t="shared" si="15"/>
        <v/>
      </c>
      <c r="AN169" s="54" t="str">
        <f t="shared" si="16"/>
        <v/>
      </c>
      <c r="AO169" s="56" t="e">
        <f t="shared" si="17"/>
        <v>#VALUE!</v>
      </c>
    </row>
    <row r="170" spans="1:41" x14ac:dyDescent="0.25">
      <c r="A170" s="54">
        <f>IF('Data Karyawan'!A165&lt;&gt;"", 'Data Karyawan'!A165, "")</f>
        <v>162</v>
      </c>
      <c r="B170" s="54" t="str">
        <f>IF('Data Karyawan'!B165&lt;&gt;"", 'Data Karyawan'!B165, "")</f>
        <v/>
      </c>
      <c r="C170" s="55" t="str">
        <f>IF('Data Karyawan'!C165&lt;&gt;"", 'Data Karyawan'!C165, "")</f>
        <v/>
      </c>
      <c r="D170" s="54" t="str">
        <f>IF('Data Karyawan'!D165&lt;&gt;"", 'Data Karyawan'!D165, "")</f>
        <v/>
      </c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4" t="str">
        <f t="shared" si="12"/>
        <v/>
      </c>
      <c r="AK170" s="54" t="str">
        <f t="shared" si="13"/>
        <v/>
      </c>
      <c r="AL170" s="54" t="str">
        <f t="shared" si="14"/>
        <v/>
      </c>
      <c r="AM170" s="54" t="str">
        <f t="shared" si="15"/>
        <v/>
      </c>
      <c r="AN170" s="54" t="str">
        <f t="shared" si="16"/>
        <v/>
      </c>
      <c r="AO170" s="56" t="e">
        <f t="shared" si="17"/>
        <v>#VALUE!</v>
      </c>
    </row>
    <row r="171" spans="1:41" x14ac:dyDescent="0.25">
      <c r="A171" s="54">
        <f>IF('Data Karyawan'!A166&lt;&gt;"", 'Data Karyawan'!A166, "")</f>
        <v>163</v>
      </c>
      <c r="B171" s="54" t="str">
        <f>IF('Data Karyawan'!B166&lt;&gt;"", 'Data Karyawan'!B166, "")</f>
        <v/>
      </c>
      <c r="C171" s="55" t="str">
        <f>IF('Data Karyawan'!C166&lt;&gt;"", 'Data Karyawan'!C166, "")</f>
        <v/>
      </c>
      <c r="D171" s="54" t="str">
        <f>IF('Data Karyawan'!D166&lt;&gt;"", 'Data Karyawan'!D166, "")</f>
        <v/>
      </c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4" t="str">
        <f t="shared" si="12"/>
        <v/>
      </c>
      <c r="AK171" s="54" t="str">
        <f t="shared" si="13"/>
        <v/>
      </c>
      <c r="AL171" s="54" t="str">
        <f t="shared" si="14"/>
        <v/>
      </c>
      <c r="AM171" s="54" t="str">
        <f t="shared" si="15"/>
        <v/>
      </c>
      <c r="AN171" s="54" t="str">
        <f t="shared" si="16"/>
        <v/>
      </c>
      <c r="AO171" s="56" t="e">
        <f t="shared" si="17"/>
        <v>#VALUE!</v>
      </c>
    </row>
    <row r="172" spans="1:41" x14ac:dyDescent="0.25">
      <c r="A172" s="54">
        <f>IF('Data Karyawan'!A167&lt;&gt;"", 'Data Karyawan'!A167, "")</f>
        <v>164</v>
      </c>
      <c r="B172" s="54" t="str">
        <f>IF('Data Karyawan'!B167&lt;&gt;"", 'Data Karyawan'!B167, "")</f>
        <v/>
      </c>
      <c r="C172" s="55" t="str">
        <f>IF('Data Karyawan'!C167&lt;&gt;"", 'Data Karyawan'!C167, "")</f>
        <v/>
      </c>
      <c r="D172" s="54" t="str">
        <f>IF('Data Karyawan'!D167&lt;&gt;"", 'Data Karyawan'!D167, "")</f>
        <v/>
      </c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4" t="str">
        <f t="shared" si="12"/>
        <v/>
      </c>
      <c r="AK172" s="54" t="str">
        <f t="shared" si="13"/>
        <v/>
      </c>
      <c r="AL172" s="54" t="str">
        <f t="shared" si="14"/>
        <v/>
      </c>
      <c r="AM172" s="54" t="str">
        <f t="shared" si="15"/>
        <v/>
      </c>
      <c r="AN172" s="54" t="str">
        <f t="shared" si="16"/>
        <v/>
      </c>
      <c r="AO172" s="56" t="e">
        <f t="shared" si="17"/>
        <v>#VALUE!</v>
      </c>
    </row>
    <row r="173" spans="1:41" x14ac:dyDescent="0.25">
      <c r="A173" s="54">
        <f>IF('Data Karyawan'!A168&lt;&gt;"", 'Data Karyawan'!A168, "")</f>
        <v>165</v>
      </c>
      <c r="B173" s="54" t="str">
        <f>IF('Data Karyawan'!B168&lt;&gt;"", 'Data Karyawan'!B168, "")</f>
        <v/>
      </c>
      <c r="C173" s="55" t="str">
        <f>IF('Data Karyawan'!C168&lt;&gt;"", 'Data Karyawan'!C168, "")</f>
        <v/>
      </c>
      <c r="D173" s="54" t="str">
        <f>IF('Data Karyawan'!D168&lt;&gt;"", 'Data Karyawan'!D168, "")</f>
        <v/>
      </c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4" t="str">
        <f t="shared" si="12"/>
        <v/>
      </c>
      <c r="AK173" s="54" t="str">
        <f t="shared" si="13"/>
        <v/>
      </c>
      <c r="AL173" s="54" t="str">
        <f t="shared" si="14"/>
        <v/>
      </c>
      <c r="AM173" s="54" t="str">
        <f t="shared" si="15"/>
        <v/>
      </c>
      <c r="AN173" s="54" t="str">
        <f t="shared" si="16"/>
        <v/>
      </c>
      <c r="AO173" s="56" t="e">
        <f t="shared" si="17"/>
        <v>#VALUE!</v>
      </c>
    </row>
    <row r="174" spans="1:41" x14ac:dyDescent="0.25">
      <c r="A174" s="54">
        <f>IF('Data Karyawan'!A169&lt;&gt;"", 'Data Karyawan'!A169, "")</f>
        <v>166</v>
      </c>
      <c r="B174" s="54" t="str">
        <f>IF('Data Karyawan'!B169&lt;&gt;"", 'Data Karyawan'!B169, "")</f>
        <v/>
      </c>
      <c r="C174" s="55" t="str">
        <f>IF('Data Karyawan'!C169&lt;&gt;"", 'Data Karyawan'!C169, "")</f>
        <v/>
      </c>
      <c r="D174" s="54" t="str">
        <f>IF('Data Karyawan'!D169&lt;&gt;"", 'Data Karyawan'!D169, "")</f>
        <v/>
      </c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4" t="str">
        <f t="shared" si="12"/>
        <v/>
      </c>
      <c r="AK174" s="54" t="str">
        <f t="shared" si="13"/>
        <v/>
      </c>
      <c r="AL174" s="54" t="str">
        <f t="shared" si="14"/>
        <v/>
      </c>
      <c r="AM174" s="54" t="str">
        <f t="shared" si="15"/>
        <v/>
      </c>
      <c r="AN174" s="54" t="str">
        <f t="shared" si="16"/>
        <v/>
      </c>
      <c r="AO174" s="56" t="e">
        <f t="shared" si="17"/>
        <v>#VALUE!</v>
      </c>
    </row>
    <row r="175" spans="1:41" x14ac:dyDescent="0.25">
      <c r="A175" s="54" t="str">
        <f>IF('Data Karyawan'!A170&lt;&gt;"", 'Data Karyawan'!A170, "")</f>
        <v/>
      </c>
      <c r="B175" s="54" t="str">
        <f>IF('Data Karyawan'!B170&lt;&gt;"", 'Data Karyawan'!B170, "")</f>
        <v/>
      </c>
      <c r="C175" s="55" t="str">
        <f>IF('Data Karyawan'!C170&lt;&gt;"", 'Data Karyawan'!C170, "")</f>
        <v/>
      </c>
      <c r="D175" s="54" t="str">
        <f>IF('Data Karyawan'!D170&lt;&gt;"", 'Data Karyawan'!D170, "")</f>
        <v/>
      </c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4" t="str">
        <f t="shared" si="12"/>
        <v/>
      </c>
      <c r="AK175" s="54" t="str">
        <f t="shared" si="13"/>
        <v/>
      </c>
      <c r="AL175" s="54" t="str">
        <f t="shared" si="14"/>
        <v/>
      </c>
      <c r="AM175" s="54" t="str">
        <f t="shared" si="15"/>
        <v/>
      </c>
      <c r="AN175" s="54" t="str">
        <f t="shared" si="16"/>
        <v/>
      </c>
      <c r="AO175" s="56" t="e">
        <f t="shared" si="17"/>
        <v>#VALUE!</v>
      </c>
    </row>
    <row r="176" spans="1:41" x14ac:dyDescent="0.25">
      <c r="A176" s="54" t="str">
        <f>IF('Data Karyawan'!A171&lt;&gt;"", 'Data Karyawan'!A171, "")</f>
        <v/>
      </c>
      <c r="B176" s="54" t="str">
        <f>IF('Data Karyawan'!B171&lt;&gt;"", 'Data Karyawan'!B171, "")</f>
        <v/>
      </c>
      <c r="C176" s="55" t="str">
        <f>IF('Data Karyawan'!C171&lt;&gt;"", 'Data Karyawan'!C171, "")</f>
        <v/>
      </c>
      <c r="D176" s="54" t="str">
        <f>IF('Data Karyawan'!D171&lt;&gt;"", 'Data Karyawan'!D171, "")</f>
        <v/>
      </c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4" t="str">
        <f t="shared" si="12"/>
        <v/>
      </c>
      <c r="AK176" s="54" t="str">
        <f t="shared" si="13"/>
        <v/>
      </c>
      <c r="AL176" s="54" t="str">
        <f t="shared" si="14"/>
        <v/>
      </c>
      <c r="AM176" s="54" t="str">
        <f t="shared" si="15"/>
        <v/>
      </c>
      <c r="AN176" s="54" t="str">
        <f t="shared" si="16"/>
        <v/>
      </c>
      <c r="AO176" s="56" t="e">
        <f t="shared" si="17"/>
        <v>#VALUE!</v>
      </c>
    </row>
    <row r="177" spans="1:41" x14ac:dyDescent="0.25">
      <c r="A177" s="54" t="str">
        <f>IF('Data Karyawan'!A172&lt;&gt;"", 'Data Karyawan'!A172, "")</f>
        <v/>
      </c>
      <c r="B177" s="54" t="str">
        <f>IF('Data Karyawan'!B172&lt;&gt;"", 'Data Karyawan'!B172, "")</f>
        <v/>
      </c>
      <c r="C177" s="55" t="str">
        <f>IF('Data Karyawan'!C172&lt;&gt;"", 'Data Karyawan'!C172, "")</f>
        <v/>
      </c>
      <c r="D177" s="54" t="str">
        <f>IF('Data Karyawan'!D172&lt;&gt;"", 'Data Karyawan'!D172, "")</f>
        <v/>
      </c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4" t="str">
        <f t="shared" si="12"/>
        <v/>
      </c>
      <c r="AK177" s="54" t="str">
        <f t="shared" si="13"/>
        <v/>
      </c>
      <c r="AL177" s="54" t="str">
        <f t="shared" si="14"/>
        <v/>
      </c>
      <c r="AM177" s="54" t="str">
        <f t="shared" si="15"/>
        <v/>
      </c>
      <c r="AN177" s="54" t="str">
        <f t="shared" si="16"/>
        <v/>
      </c>
      <c r="AO177" s="56" t="e">
        <f t="shared" si="17"/>
        <v>#VALUE!</v>
      </c>
    </row>
    <row r="178" spans="1:41" x14ac:dyDescent="0.25">
      <c r="A178" s="54" t="str">
        <f>IF('Data Karyawan'!A173&lt;&gt;"", 'Data Karyawan'!A173, "")</f>
        <v/>
      </c>
      <c r="B178" s="54" t="str">
        <f>IF('Data Karyawan'!B173&lt;&gt;"", 'Data Karyawan'!B173, "")</f>
        <v/>
      </c>
      <c r="C178" s="55" t="str">
        <f>IF('Data Karyawan'!C173&lt;&gt;"", 'Data Karyawan'!C173, "")</f>
        <v/>
      </c>
      <c r="D178" s="54" t="str">
        <f>IF('Data Karyawan'!D173&lt;&gt;"", 'Data Karyawan'!D173, "")</f>
        <v/>
      </c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4" t="str">
        <f t="shared" si="12"/>
        <v/>
      </c>
      <c r="AK178" s="54" t="str">
        <f t="shared" si="13"/>
        <v/>
      </c>
      <c r="AL178" s="54" t="str">
        <f t="shared" si="14"/>
        <v/>
      </c>
      <c r="AM178" s="54" t="str">
        <f t="shared" si="15"/>
        <v/>
      </c>
      <c r="AN178" s="54" t="str">
        <f t="shared" si="16"/>
        <v/>
      </c>
      <c r="AO178" s="56" t="e">
        <f t="shared" si="17"/>
        <v>#VALUE!</v>
      </c>
    </row>
    <row r="179" spans="1:41" x14ac:dyDescent="0.25">
      <c r="A179" s="54" t="str">
        <f>IF('Data Karyawan'!A174&lt;&gt;"", 'Data Karyawan'!A174, "")</f>
        <v/>
      </c>
      <c r="B179" s="54" t="str">
        <f>IF('Data Karyawan'!B174&lt;&gt;"", 'Data Karyawan'!B174, "")</f>
        <v/>
      </c>
      <c r="C179" s="55" t="str">
        <f>IF('Data Karyawan'!C174&lt;&gt;"", 'Data Karyawan'!C174, "")</f>
        <v/>
      </c>
      <c r="D179" s="54" t="str">
        <f>IF('Data Karyawan'!D174&lt;&gt;"", 'Data Karyawan'!D174, "")</f>
        <v/>
      </c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4" t="str">
        <f t="shared" si="12"/>
        <v/>
      </c>
      <c r="AK179" s="54" t="str">
        <f t="shared" si="13"/>
        <v/>
      </c>
      <c r="AL179" s="54" t="str">
        <f t="shared" si="14"/>
        <v/>
      </c>
      <c r="AM179" s="54" t="str">
        <f t="shared" si="15"/>
        <v/>
      </c>
      <c r="AN179" s="54" t="str">
        <f t="shared" si="16"/>
        <v/>
      </c>
      <c r="AO179" s="56" t="e">
        <f t="shared" si="17"/>
        <v>#VALUE!</v>
      </c>
    </row>
    <row r="180" spans="1:41" x14ac:dyDescent="0.25">
      <c r="A180" s="54" t="str">
        <f>IF('Data Karyawan'!A175&lt;&gt;"", 'Data Karyawan'!A175, "")</f>
        <v/>
      </c>
      <c r="B180" s="54" t="str">
        <f>IF('Data Karyawan'!B175&lt;&gt;"", 'Data Karyawan'!B175, "")</f>
        <v/>
      </c>
      <c r="C180" s="55" t="str">
        <f>IF('Data Karyawan'!C175&lt;&gt;"", 'Data Karyawan'!C175, "")</f>
        <v/>
      </c>
      <c r="D180" s="54" t="str">
        <f>IF('Data Karyawan'!D175&lt;&gt;"", 'Data Karyawan'!D175, "")</f>
        <v/>
      </c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4" t="str">
        <f t="shared" si="12"/>
        <v/>
      </c>
      <c r="AK180" s="54" t="str">
        <f t="shared" si="13"/>
        <v/>
      </c>
      <c r="AL180" s="54" t="str">
        <f t="shared" si="14"/>
        <v/>
      </c>
      <c r="AM180" s="54" t="str">
        <f t="shared" si="15"/>
        <v/>
      </c>
      <c r="AN180" s="54" t="str">
        <f t="shared" si="16"/>
        <v/>
      </c>
      <c r="AO180" s="56" t="e">
        <f t="shared" si="17"/>
        <v>#VALUE!</v>
      </c>
    </row>
    <row r="181" spans="1:41" x14ac:dyDescent="0.25">
      <c r="A181" s="54" t="str">
        <f>IF('Data Karyawan'!A176&lt;&gt;"", 'Data Karyawan'!A176, "")</f>
        <v/>
      </c>
      <c r="B181" s="54" t="str">
        <f>IF('Data Karyawan'!B176&lt;&gt;"", 'Data Karyawan'!B176, "")</f>
        <v/>
      </c>
      <c r="C181" s="55" t="str">
        <f>IF('Data Karyawan'!C176&lt;&gt;"", 'Data Karyawan'!C176, "")</f>
        <v/>
      </c>
      <c r="D181" s="54" t="str">
        <f>IF('Data Karyawan'!D176&lt;&gt;"", 'Data Karyawan'!D176, "")</f>
        <v/>
      </c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4" t="str">
        <f t="shared" si="12"/>
        <v/>
      </c>
      <c r="AK181" s="54" t="str">
        <f t="shared" si="13"/>
        <v/>
      </c>
      <c r="AL181" s="54" t="str">
        <f t="shared" si="14"/>
        <v/>
      </c>
      <c r="AM181" s="54" t="str">
        <f t="shared" si="15"/>
        <v/>
      </c>
      <c r="AN181" s="54" t="str">
        <f t="shared" si="16"/>
        <v/>
      </c>
      <c r="AO181" s="56" t="e">
        <f t="shared" si="17"/>
        <v>#VALUE!</v>
      </c>
    </row>
    <row r="182" spans="1:41" x14ac:dyDescent="0.25">
      <c r="A182" s="54" t="str">
        <f>IF('Data Karyawan'!A177&lt;&gt;"", 'Data Karyawan'!A177, "")</f>
        <v/>
      </c>
      <c r="B182" s="54" t="str">
        <f>IF('Data Karyawan'!B177&lt;&gt;"", 'Data Karyawan'!B177, "")</f>
        <v/>
      </c>
      <c r="C182" s="55" t="str">
        <f>IF('Data Karyawan'!C177&lt;&gt;"", 'Data Karyawan'!C177, "")</f>
        <v/>
      </c>
      <c r="D182" s="54" t="str">
        <f>IF('Data Karyawan'!D177&lt;&gt;"", 'Data Karyawan'!D177, "")</f>
        <v/>
      </c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4" t="str">
        <f t="shared" si="12"/>
        <v/>
      </c>
      <c r="AK182" s="54" t="str">
        <f t="shared" si="13"/>
        <v/>
      </c>
      <c r="AL182" s="54" t="str">
        <f t="shared" si="14"/>
        <v/>
      </c>
      <c r="AM182" s="54" t="str">
        <f t="shared" si="15"/>
        <v/>
      </c>
      <c r="AN182" s="54" t="str">
        <f t="shared" si="16"/>
        <v/>
      </c>
      <c r="AO182" s="56" t="e">
        <f t="shared" si="17"/>
        <v>#VALUE!</v>
      </c>
    </row>
    <row r="183" spans="1:41" x14ac:dyDescent="0.25">
      <c r="A183" s="54" t="str">
        <f>IF('Data Karyawan'!A178&lt;&gt;"", 'Data Karyawan'!A178, "")</f>
        <v/>
      </c>
      <c r="B183" s="54" t="str">
        <f>IF('Data Karyawan'!B178&lt;&gt;"", 'Data Karyawan'!B178, "")</f>
        <v/>
      </c>
      <c r="C183" s="55" t="str">
        <f>IF('Data Karyawan'!C178&lt;&gt;"", 'Data Karyawan'!C178, "")</f>
        <v/>
      </c>
      <c r="D183" s="54" t="str">
        <f>IF('Data Karyawan'!D178&lt;&gt;"", 'Data Karyawan'!D178, "")</f>
        <v/>
      </c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4" t="str">
        <f t="shared" si="12"/>
        <v/>
      </c>
      <c r="AK183" s="54" t="str">
        <f t="shared" si="13"/>
        <v/>
      </c>
      <c r="AL183" s="54" t="str">
        <f t="shared" si="14"/>
        <v/>
      </c>
      <c r="AM183" s="54" t="str">
        <f t="shared" si="15"/>
        <v/>
      </c>
      <c r="AN183" s="54" t="str">
        <f t="shared" si="16"/>
        <v/>
      </c>
      <c r="AO183" s="56" t="e">
        <f t="shared" si="17"/>
        <v>#VALUE!</v>
      </c>
    </row>
    <row r="184" spans="1:41" x14ac:dyDescent="0.25">
      <c r="A184" s="54" t="str">
        <f>IF('Data Karyawan'!A179&lt;&gt;"", 'Data Karyawan'!A179, "")</f>
        <v/>
      </c>
      <c r="B184" s="54" t="str">
        <f>IF('Data Karyawan'!B179&lt;&gt;"", 'Data Karyawan'!B179, "")</f>
        <v/>
      </c>
      <c r="C184" s="55" t="str">
        <f>IF('Data Karyawan'!C179&lt;&gt;"", 'Data Karyawan'!C179, "")</f>
        <v/>
      </c>
      <c r="D184" s="54" t="str">
        <f>IF('Data Karyawan'!D179&lt;&gt;"", 'Data Karyawan'!D179, "")</f>
        <v/>
      </c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4" t="str">
        <f t="shared" si="12"/>
        <v/>
      </c>
      <c r="AK184" s="54" t="str">
        <f t="shared" si="13"/>
        <v/>
      </c>
      <c r="AL184" s="54" t="str">
        <f t="shared" si="14"/>
        <v/>
      </c>
      <c r="AM184" s="54" t="str">
        <f t="shared" si="15"/>
        <v/>
      </c>
      <c r="AN184" s="54" t="str">
        <f t="shared" si="16"/>
        <v/>
      </c>
      <c r="AO184" s="56" t="e">
        <f t="shared" si="17"/>
        <v>#VALUE!</v>
      </c>
    </row>
    <row r="185" spans="1:41" x14ac:dyDescent="0.25">
      <c r="A185" s="54" t="str">
        <f>IF('Data Karyawan'!A180&lt;&gt;"", 'Data Karyawan'!A180, "")</f>
        <v/>
      </c>
      <c r="B185" s="54" t="str">
        <f>IF('Data Karyawan'!B180&lt;&gt;"", 'Data Karyawan'!B180, "")</f>
        <v/>
      </c>
      <c r="C185" s="55" t="str">
        <f>IF('Data Karyawan'!C180&lt;&gt;"", 'Data Karyawan'!C180, "")</f>
        <v/>
      </c>
      <c r="D185" s="54" t="str">
        <f>IF('Data Karyawan'!D180&lt;&gt;"", 'Data Karyawan'!D180, "")</f>
        <v/>
      </c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4" t="str">
        <f t="shared" si="12"/>
        <v/>
      </c>
      <c r="AK185" s="54" t="str">
        <f t="shared" si="13"/>
        <v/>
      </c>
      <c r="AL185" s="54" t="str">
        <f t="shared" si="14"/>
        <v/>
      </c>
      <c r="AM185" s="54" t="str">
        <f t="shared" si="15"/>
        <v/>
      </c>
      <c r="AN185" s="54" t="str">
        <f t="shared" si="16"/>
        <v/>
      </c>
      <c r="AO185" s="56" t="e">
        <f t="shared" si="17"/>
        <v>#VALUE!</v>
      </c>
    </row>
    <row r="186" spans="1:41" x14ac:dyDescent="0.25">
      <c r="A186" s="54" t="str">
        <f>IF('Data Karyawan'!A181&lt;&gt;"", 'Data Karyawan'!A181, "")</f>
        <v/>
      </c>
      <c r="B186" s="54" t="str">
        <f>IF('Data Karyawan'!B181&lt;&gt;"", 'Data Karyawan'!B181, "")</f>
        <v/>
      </c>
      <c r="C186" s="55" t="str">
        <f>IF('Data Karyawan'!C181&lt;&gt;"", 'Data Karyawan'!C181, "")</f>
        <v/>
      </c>
      <c r="D186" s="54" t="str">
        <f>IF('Data Karyawan'!D181&lt;&gt;"", 'Data Karyawan'!D181, "")</f>
        <v/>
      </c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4" t="str">
        <f t="shared" si="12"/>
        <v/>
      </c>
      <c r="AK186" s="54" t="str">
        <f t="shared" si="13"/>
        <v/>
      </c>
      <c r="AL186" s="54" t="str">
        <f t="shared" si="14"/>
        <v/>
      </c>
      <c r="AM186" s="54" t="str">
        <f t="shared" si="15"/>
        <v/>
      </c>
      <c r="AN186" s="54" t="str">
        <f t="shared" si="16"/>
        <v/>
      </c>
      <c r="AO186" s="56" t="e">
        <f t="shared" si="17"/>
        <v>#VALUE!</v>
      </c>
    </row>
    <row r="187" spans="1:41" x14ac:dyDescent="0.25">
      <c r="A187" s="54" t="str">
        <f>IF('Data Karyawan'!A182&lt;&gt;"", 'Data Karyawan'!A182, "")</f>
        <v/>
      </c>
      <c r="B187" s="54" t="str">
        <f>IF('Data Karyawan'!B182&lt;&gt;"", 'Data Karyawan'!B182, "")</f>
        <v/>
      </c>
      <c r="C187" s="55" t="str">
        <f>IF('Data Karyawan'!C182&lt;&gt;"", 'Data Karyawan'!C182, "")</f>
        <v/>
      </c>
      <c r="D187" s="54" t="str">
        <f>IF('Data Karyawan'!D182&lt;&gt;"", 'Data Karyawan'!D182, "")</f>
        <v/>
      </c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4" t="str">
        <f t="shared" si="12"/>
        <v/>
      </c>
      <c r="AK187" s="54" t="str">
        <f t="shared" si="13"/>
        <v/>
      </c>
      <c r="AL187" s="54" t="str">
        <f t="shared" si="14"/>
        <v/>
      </c>
      <c r="AM187" s="54" t="str">
        <f t="shared" si="15"/>
        <v/>
      </c>
      <c r="AN187" s="54" t="str">
        <f t="shared" si="16"/>
        <v/>
      </c>
      <c r="AO187" s="56" t="e">
        <f t="shared" si="17"/>
        <v>#VALUE!</v>
      </c>
    </row>
    <row r="188" spans="1:41" x14ac:dyDescent="0.25">
      <c r="A188" s="54" t="str">
        <f>IF('Data Karyawan'!A183&lt;&gt;"", 'Data Karyawan'!A183, "")</f>
        <v/>
      </c>
      <c r="B188" s="54" t="str">
        <f>IF('Data Karyawan'!B183&lt;&gt;"", 'Data Karyawan'!B183, "")</f>
        <v/>
      </c>
      <c r="C188" s="55" t="str">
        <f>IF('Data Karyawan'!C183&lt;&gt;"", 'Data Karyawan'!C183, "")</f>
        <v/>
      </c>
      <c r="D188" s="54" t="str">
        <f>IF('Data Karyawan'!D183&lt;&gt;"", 'Data Karyawan'!D183, "")</f>
        <v/>
      </c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4" t="str">
        <f t="shared" si="12"/>
        <v/>
      </c>
      <c r="AK188" s="54" t="str">
        <f t="shared" si="13"/>
        <v/>
      </c>
      <c r="AL188" s="54" t="str">
        <f t="shared" si="14"/>
        <v/>
      </c>
      <c r="AM188" s="54" t="str">
        <f t="shared" si="15"/>
        <v/>
      </c>
      <c r="AN188" s="54" t="str">
        <f t="shared" si="16"/>
        <v/>
      </c>
      <c r="AO188" s="56" t="e">
        <f t="shared" si="17"/>
        <v>#VALUE!</v>
      </c>
    </row>
    <row r="189" spans="1:41" x14ac:dyDescent="0.25">
      <c r="A189" s="54" t="str">
        <f>IF('Data Karyawan'!A184&lt;&gt;"", 'Data Karyawan'!A184, "")</f>
        <v/>
      </c>
      <c r="B189" s="54" t="str">
        <f>IF('Data Karyawan'!B184&lt;&gt;"", 'Data Karyawan'!B184, "")</f>
        <v/>
      </c>
      <c r="C189" s="55" t="str">
        <f>IF('Data Karyawan'!C184&lt;&gt;"", 'Data Karyawan'!C184, "")</f>
        <v/>
      </c>
      <c r="D189" s="54" t="str">
        <f>IF('Data Karyawan'!D184&lt;&gt;"", 'Data Karyawan'!D184, "")</f>
        <v/>
      </c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4" t="str">
        <f t="shared" si="12"/>
        <v/>
      </c>
      <c r="AK189" s="54" t="str">
        <f t="shared" si="13"/>
        <v/>
      </c>
      <c r="AL189" s="54" t="str">
        <f t="shared" si="14"/>
        <v/>
      </c>
      <c r="AM189" s="54" t="str">
        <f t="shared" si="15"/>
        <v/>
      </c>
      <c r="AN189" s="54" t="str">
        <f t="shared" si="16"/>
        <v/>
      </c>
      <c r="AO189" s="56" t="e">
        <f t="shared" si="17"/>
        <v>#VALUE!</v>
      </c>
    </row>
    <row r="190" spans="1:41" x14ac:dyDescent="0.25">
      <c r="A190" s="54" t="str">
        <f>IF('Data Karyawan'!A185&lt;&gt;"", 'Data Karyawan'!A185, "")</f>
        <v/>
      </c>
      <c r="B190" s="54" t="str">
        <f>IF('Data Karyawan'!B185&lt;&gt;"", 'Data Karyawan'!B185, "")</f>
        <v/>
      </c>
      <c r="C190" s="55" t="str">
        <f>IF('Data Karyawan'!C185&lt;&gt;"", 'Data Karyawan'!C185, "")</f>
        <v/>
      </c>
      <c r="D190" s="54" t="str">
        <f>IF('Data Karyawan'!D185&lt;&gt;"", 'Data Karyawan'!D185, "")</f>
        <v/>
      </c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4" t="str">
        <f t="shared" si="12"/>
        <v/>
      </c>
      <c r="AK190" s="54" t="str">
        <f t="shared" si="13"/>
        <v/>
      </c>
      <c r="AL190" s="54" t="str">
        <f t="shared" si="14"/>
        <v/>
      </c>
      <c r="AM190" s="54" t="str">
        <f t="shared" si="15"/>
        <v/>
      </c>
      <c r="AN190" s="54" t="str">
        <f t="shared" si="16"/>
        <v/>
      </c>
      <c r="AO190" s="56" t="e">
        <f t="shared" si="17"/>
        <v>#VALUE!</v>
      </c>
    </row>
    <row r="191" spans="1:41" x14ac:dyDescent="0.25">
      <c r="A191" s="54" t="str">
        <f>IF('Data Karyawan'!A186&lt;&gt;"", 'Data Karyawan'!A186, "")</f>
        <v/>
      </c>
      <c r="B191" s="54" t="str">
        <f>IF('Data Karyawan'!B186&lt;&gt;"", 'Data Karyawan'!B186, "")</f>
        <v/>
      </c>
      <c r="C191" s="55" t="str">
        <f>IF('Data Karyawan'!C186&lt;&gt;"", 'Data Karyawan'!C186, "")</f>
        <v/>
      </c>
      <c r="D191" s="54" t="str">
        <f>IF('Data Karyawan'!D186&lt;&gt;"", 'Data Karyawan'!D186, "")</f>
        <v/>
      </c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4" t="str">
        <f t="shared" si="12"/>
        <v/>
      </c>
      <c r="AK191" s="54" t="str">
        <f t="shared" si="13"/>
        <v/>
      </c>
      <c r="AL191" s="54" t="str">
        <f t="shared" si="14"/>
        <v/>
      </c>
      <c r="AM191" s="54" t="str">
        <f t="shared" si="15"/>
        <v/>
      </c>
      <c r="AN191" s="54" t="str">
        <f t="shared" si="16"/>
        <v/>
      </c>
      <c r="AO191" s="56" t="e">
        <f t="shared" si="17"/>
        <v>#VALUE!</v>
      </c>
    </row>
    <row r="192" spans="1:41" x14ac:dyDescent="0.25">
      <c r="A192" s="54" t="str">
        <f>IF('Data Karyawan'!A187&lt;&gt;"", 'Data Karyawan'!A187, "")</f>
        <v/>
      </c>
      <c r="B192" s="54" t="str">
        <f>IF('Data Karyawan'!B187&lt;&gt;"", 'Data Karyawan'!B187, "")</f>
        <v/>
      </c>
      <c r="C192" s="55" t="str">
        <f>IF('Data Karyawan'!C187&lt;&gt;"", 'Data Karyawan'!C187, "")</f>
        <v/>
      </c>
      <c r="D192" s="54" t="str">
        <f>IF('Data Karyawan'!D187&lt;&gt;"", 'Data Karyawan'!D187, "")</f>
        <v/>
      </c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4" t="str">
        <f t="shared" si="12"/>
        <v/>
      </c>
      <c r="AK192" s="54" t="str">
        <f t="shared" si="13"/>
        <v/>
      </c>
      <c r="AL192" s="54" t="str">
        <f t="shared" si="14"/>
        <v/>
      </c>
      <c r="AM192" s="54" t="str">
        <f t="shared" si="15"/>
        <v/>
      </c>
      <c r="AN192" s="54" t="str">
        <f t="shared" si="16"/>
        <v/>
      </c>
      <c r="AO192" s="56" t="e">
        <f t="shared" si="17"/>
        <v>#VALUE!</v>
      </c>
    </row>
    <row r="193" spans="1:41" x14ac:dyDescent="0.25">
      <c r="A193" s="54" t="str">
        <f>IF('Data Karyawan'!A188&lt;&gt;"", 'Data Karyawan'!A188, "")</f>
        <v/>
      </c>
      <c r="B193" s="54" t="str">
        <f>IF('Data Karyawan'!B188&lt;&gt;"", 'Data Karyawan'!B188, "")</f>
        <v/>
      </c>
      <c r="C193" s="55" t="str">
        <f>IF('Data Karyawan'!C188&lt;&gt;"", 'Data Karyawan'!C188, "")</f>
        <v/>
      </c>
      <c r="D193" s="54" t="str">
        <f>IF('Data Karyawan'!D188&lt;&gt;"", 'Data Karyawan'!D188, "")</f>
        <v/>
      </c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4" t="str">
        <f t="shared" si="12"/>
        <v/>
      </c>
      <c r="AK193" s="54" t="str">
        <f t="shared" si="13"/>
        <v/>
      </c>
      <c r="AL193" s="54" t="str">
        <f t="shared" si="14"/>
        <v/>
      </c>
      <c r="AM193" s="54" t="str">
        <f t="shared" si="15"/>
        <v/>
      </c>
      <c r="AN193" s="54" t="str">
        <f t="shared" si="16"/>
        <v/>
      </c>
      <c r="AO193" s="56" t="e">
        <f t="shared" si="17"/>
        <v>#VALUE!</v>
      </c>
    </row>
    <row r="194" spans="1:41" x14ac:dyDescent="0.25">
      <c r="A194" s="54" t="str">
        <f>IF('Data Karyawan'!A189&lt;&gt;"", 'Data Karyawan'!A189, "")</f>
        <v/>
      </c>
      <c r="B194" s="54" t="str">
        <f>IF('Data Karyawan'!B189&lt;&gt;"", 'Data Karyawan'!B189, "")</f>
        <v/>
      </c>
      <c r="C194" s="55" t="str">
        <f>IF('Data Karyawan'!C189&lt;&gt;"", 'Data Karyawan'!C189, "")</f>
        <v/>
      </c>
      <c r="D194" s="54" t="str">
        <f>IF('Data Karyawan'!D189&lt;&gt;"", 'Data Karyawan'!D189, "")</f>
        <v/>
      </c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4" t="str">
        <f t="shared" si="12"/>
        <v/>
      </c>
      <c r="AK194" s="54" t="str">
        <f t="shared" si="13"/>
        <v/>
      </c>
      <c r="AL194" s="54" t="str">
        <f t="shared" si="14"/>
        <v/>
      </c>
      <c r="AM194" s="54" t="str">
        <f t="shared" si="15"/>
        <v/>
      </c>
      <c r="AN194" s="54" t="str">
        <f t="shared" si="16"/>
        <v/>
      </c>
      <c r="AO194" s="56" t="e">
        <f t="shared" si="17"/>
        <v>#VALUE!</v>
      </c>
    </row>
    <row r="195" spans="1:41" x14ac:dyDescent="0.25">
      <c r="A195" s="54" t="str">
        <f>IF('Data Karyawan'!A190&lt;&gt;"", 'Data Karyawan'!A190, "")</f>
        <v/>
      </c>
      <c r="B195" s="54" t="str">
        <f>IF('Data Karyawan'!B190&lt;&gt;"", 'Data Karyawan'!B190, "")</f>
        <v/>
      </c>
      <c r="C195" s="55" t="str">
        <f>IF('Data Karyawan'!C190&lt;&gt;"", 'Data Karyawan'!C190, "")</f>
        <v/>
      </c>
      <c r="D195" s="54" t="str">
        <f>IF('Data Karyawan'!D190&lt;&gt;"", 'Data Karyawan'!D190, "")</f>
        <v/>
      </c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4" t="str">
        <f t="shared" si="12"/>
        <v/>
      </c>
      <c r="AK195" s="54" t="str">
        <f t="shared" si="13"/>
        <v/>
      </c>
      <c r="AL195" s="54" t="str">
        <f t="shared" si="14"/>
        <v/>
      </c>
      <c r="AM195" s="54" t="str">
        <f t="shared" si="15"/>
        <v/>
      </c>
      <c r="AN195" s="54" t="str">
        <f t="shared" si="16"/>
        <v/>
      </c>
      <c r="AO195" s="56" t="e">
        <f t="shared" si="17"/>
        <v>#VALUE!</v>
      </c>
    </row>
    <row r="196" spans="1:41" x14ac:dyDescent="0.25">
      <c r="A196" s="54" t="str">
        <f>IF('Data Karyawan'!A191&lt;&gt;"", 'Data Karyawan'!A191, "")</f>
        <v/>
      </c>
      <c r="B196" s="54" t="str">
        <f>IF('Data Karyawan'!B191&lt;&gt;"", 'Data Karyawan'!B191, "")</f>
        <v/>
      </c>
      <c r="C196" s="55" t="str">
        <f>IF('Data Karyawan'!C191&lt;&gt;"", 'Data Karyawan'!C191, "")</f>
        <v/>
      </c>
      <c r="D196" s="54" t="str">
        <f>IF('Data Karyawan'!D191&lt;&gt;"", 'Data Karyawan'!D191, "")</f>
        <v/>
      </c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4" t="str">
        <f t="shared" si="12"/>
        <v/>
      </c>
      <c r="AK196" s="54" t="str">
        <f t="shared" si="13"/>
        <v/>
      </c>
      <c r="AL196" s="54" t="str">
        <f t="shared" si="14"/>
        <v/>
      </c>
      <c r="AM196" s="54" t="str">
        <f t="shared" si="15"/>
        <v/>
      </c>
      <c r="AN196" s="54" t="str">
        <f t="shared" si="16"/>
        <v/>
      </c>
      <c r="AO196" s="56" t="e">
        <f t="shared" si="17"/>
        <v>#VALUE!</v>
      </c>
    </row>
    <row r="197" spans="1:41" x14ac:dyDescent="0.25">
      <c r="A197" s="54" t="str">
        <f>IF('Data Karyawan'!A192&lt;&gt;"", 'Data Karyawan'!A192, "")</f>
        <v/>
      </c>
      <c r="B197" s="54" t="str">
        <f>IF('Data Karyawan'!B192&lt;&gt;"", 'Data Karyawan'!B192, "")</f>
        <v/>
      </c>
      <c r="C197" s="55" t="str">
        <f>IF('Data Karyawan'!C192&lt;&gt;"", 'Data Karyawan'!C192, "")</f>
        <v/>
      </c>
      <c r="D197" s="54" t="str">
        <f>IF('Data Karyawan'!D192&lt;&gt;"", 'Data Karyawan'!D192, "")</f>
        <v/>
      </c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4" t="str">
        <f t="shared" si="12"/>
        <v/>
      </c>
      <c r="AK197" s="54" t="str">
        <f t="shared" si="13"/>
        <v/>
      </c>
      <c r="AL197" s="54" t="str">
        <f t="shared" si="14"/>
        <v/>
      </c>
      <c r="AM197" s="54" t="str">
        <f t="shared" si="15"/>
        <v/>
      </c>
      <c r="AN197" s="54" t="str">
        <f t="shared" si="16"/>
        <v/>
      </c>
      <c r="AO197" s="56" t="e">
        <f t="shared" si="17"/>
        <v>#VALUE!</v>
      </c>
    </row>
    <row r="198" spans="1:41" x14ac:dyDescent="0.25">
      <c r="A198" s="54" t="str">
        <f>IF('Data Karyawan'!A193&lt;&gt;"", 'Data Karyawan'!A193, "")</f>
        <v/>
      </c>
      <c r="B198" s="54" t="str">
        <f>IF('Data Karyawan'!B193&lt;&gt;"", 'Data Karyawan'!B193, "")</f>
        <v/>
      </c>
      <c r="C198" s="55" t="str">
        <f>IF('Data Karyawan'!C193&lt;&gt;"", 'Data Karyawan'!C193, "")</f>
        <v/>
      </c>
      <c r="D198" s="54" t="str">
        <f>IF('Data Karyawan'!D193&lt;&gt;"", 'Data Karyawan'!D193, "")</f>
        <v/>
      </c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4" t="str">
        <f t="shared" si="12"/>
        <v/>
      </c>
      <c r="AK198" s="54" t="str">
        <f t="shared" si="13"/>
        <v/>
      </c>
      <c r="AL198" s="54" t="str">
        <f t="shared" si="14"/>
        <v/>
      </c>
      <c r="AM198" s="54" t="str">
        <f t="shared" si="15"/>
        <v/>
      </c>
      <c r="AN198" s="54" t="str">
        <f t="shared" si="16"/>
        <v/>
      </c>
      <c r="AO198" s="56" t="e">
        <f t="shared" si="17"/>
        <v>#VALUE!</v>
      </c>
    </row>
    <row r="199" spans="1:41" x14ac:dyDescent="0.25">
      <c r="A199" s="54" t="str">
        <f>IF('Data Karyawan'!A194&lt;&gt;"", 'Data Karyawan'!A194, "")</f>
        <v/>
      </c>
      <c r="B199" s="54" t="str">
        <f>IF('Data Karyawan'!B194&lt;&gt;"", 'Data Karyawan'!B194, "")</f>
        <v/>
      </c>
      <c r="C199" s="55" t="str">
        <f>IF('Data Karyawan'!C194&lt;&gt;"", 'Data Karyawan'!C194, "")</f>
        <v/>
      </c>
      <c r="D199" s="54" t="str">
        <f>IF('Data Karyawan'!D194&lt;&gt;"", 'Data Karyawan'!D194, "")</f>
        <v/>
      </c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4" t="str">
        <f t="shared" si="12"/>
        <v/>
      </c>
      <c r="AK199" s="54" t="str">
        <f t="shared" si="13"/>
        <v/>
      </c>
      <c r="AL199" s="54" t="str">
        <f t="shared" si="14"/>
        <v/>
      </c>
      <c r="AM199" s="54" t="str">
        <f t="shared" si="15"/>
        <v/>
      </c>
      <c r="AN199" s="54" t="str">
        <f t="shared" si="16"/>
        <v/>
      </c>
      <c r="AO199" s="56" t="e">
        <f t="shared" si="17"/>
        <v>#VALUE!</v>
      </c>
    </row>
    <row r="200" spans="1:41" x14ac:dyDescent="0.25">
      <c r="A200" s="54" t="str">
        <f>IF('Data Karyawan'!A195&lt;&gt;"", 'Data Karyawan'!A195, "")</f>
        <v/>
      </c>
      <c r="B200" s="54" t="str">
        <f>IF('Data Karyawan'!B195&lt;&gt;"", 'Data Karyawan'!B195, "")</f>
        <v/>
      </c>
      <c r="C200" s="55" t="str">
        <f>IF('Data Karyawan'!C195&lt;&gt;"", 'Data Karyawan'!C195, "")</f>
        <v/>
      </c>
      <c r="D200" s="54" t="str">
        <f>IF('Data Karyawan'!D195&lt;&gt;"", 'Data Karyawan'!D195, "")</f>
        <v/>
      </c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4" t="str">
        <f t="shared" si="12"/>
        <v/>
      </c>
      <c r="AK200" s="54" t="str">
        <f t="shared" si="13"/>
        <v/>
      </c>
      <c r="AL200" s="54" t="str">
        <f t="shared" si="14"/>
        <v/>
      </c>
      <c r="AM200" s="54" t="str">
        <f t="shared" si="15"/>
        <v/>
      </c>
      <c r="AN200" s="54" t="str">
        <f t="shared" si="16"/>
        <v/>
      </c>
      <c r="AO200" s="56" t="e">
        <f t="shared" si="17"/>
        <v>#VALUE!</v>
      </c>
    </row>
    <row r="201" spans="1:41" x14ac:dyDescent="0.25">
      <c r="A201" s="54" t="str">
        <f>IF('Data Karyawan'!A196&lt;&gt;"", 'Data Karyawan'!A196, "")</f>
        <v/>
      </c>
      <c r="B201" s="54" t="str">
        <f>IF('Data Karyawan'!B196&lt;&gt;"", 'Data Karyawan'!B196, "")</f>
        <v/>
      </c>
      <c r="C201" s="55" t="str">
        <f>IF('Data Karyawan'!C196&lt;&gt;"", 'Data Karyawan'!C196, "")</f>
        <v/>
      </c>
      <c r="D201" s="54" t="str">
        <f>IF('Data Karyawan'!D196&lt;&gt;"", 'Data Karyawan'!D196, "")</f>
        <v/>
      </c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4" t="str">
        <f t="shared" ref="AJ201:AJ264" si="18">IF($C201="","",COUNTIF(E201:AI201, "H"))</f>
        <v/>
      </c>
      <c r="AK201" s="54" t="str">
        <f t="shared" ref="AK201:AK264" si="19">IF($C201="","",COUNTIF(E201:AI201, "S"))</f>
        <v/>
      </c>
      <c r="AL201" s="54" t="str">
        <f t="shared" ref="AL201:AL264" si="20">IF($C201="","",COUNTIF(E201:AI201, "I"))</f>
        <v/>
      </c>
      <c r="AM201" s="54" t="str">
        <f t="shared" ref="AM201:AM264" si="21">IF($C201="","",COUNTIF(E201:AI201, "A"))</f>
        <v/>
      </c>
      <c r="AN201" s="54" t="str">
        <f t="shared" ref="AN201:AN264" si="22">IF($C201="","",COUNTIF(E201:AI201, "C"))</f>
        <v/>
      </c>
      <c r="AO201" s="56" t="e">
        <f t="shared" ref="AO201:AO264" si="23">IF(OR($B201="",(AJ201+AK201+AL201+AM201)=0),0,AJ201/(AJ201+AK201+AL201+AM201))</f>
        <v>#VALUE!</v>
      </c>
    </row>
    <row r="202" spans="1:41" x14ac:dyDescent="0.25">
      <c r="A202" s="54" t="str">
        <f>IF('Data Karyawan'!A197&lt;&gt;"", 'Data Karyawan'!A197, "")</f>
        <v/>
      </c>
      <c r="B202" s="54" t="str">
        <f>IF('Data Karyawan'!B197&lt;&gt;"", 'Data Karyawan'!B197, "")</f>
        <v/>
      </c>
      <c r="C202" s="55" t="str">
        <f>IF('Data Karyawan'!C197&lt;&gt;"", 'Data Karyawan'!C197, "")</f>
        <v/>
      </c>
      <c r="D202" s="54" t="str">
        <f>IF('Data Karyawan'!D197&lt;&gt;"", 'Data Karyawan'!D197, "")</f>
        <v/>
      </c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4" t="str">
        <f t="shared" si="18"/>
        <v/>
      </c>
      <c r="AK202" s="54" t="str">
        <f t="shared" si="19"/>
        <v/>
      </c>
      <c r="AL202" s="54" t="str">
        <f t="shared" si="20"/>
        <v/>
      </c>
      <c r="AM202" s="54" t="str">
        <f t="shared" si="21"/>
        <v/>
      </c>
      <c r="AN202" s="54" t="str">
        <f t="shared" si="22"/>
        <v/>
      </c>
      <c r="AO202" s="56" t="e">
        <f t="shared" si="23"/>
        <v>#VALUE!</v>
      </c>
    </row>
    <row r="203" spans="1:41" x14ac:dyDescent="0.25">
      <c r="A203" s="54" t="str">
        <f>IF('Data Karyawan'!A198&lt;&gt;"", 'Data Karyawan'!A198, "")</f>
        <v/>
      </c>
      <c r="B203" s="54" t="str">
        <f>IF('Data Karyawan'!B198&lt;&gt;"", 'Data Karyawan'!B198, "")</f>
        <v/>
      </c>
      <c r="C203" s="55" t="str">
        <f>IF('Data Karyawan'!C198&lt;&gt;"", 'Data Karyawan'!C198, "")</f>
        <v/>
      </c>
      <c r="D203" s="54" t="str">
        <f>IF('Data Karyawan'!D198&lt;&gt;"", 'Data Karyawan'!D198, "")</f>
        <v/>
      </c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4" t="str">
        <f t="shared" si="18"/>
        <v/>
      </c>
      <c r="AK203" s="54" t="str">
        <f t="shared" si="19"/>
        <v/>
      </c>
      <c r="AL203" s="54" t="str">
        <f t="shared" si="20"/>
        <v/>
      </c>
      <c r="AM203" s="54" t="str">
        <f t="shared" si="21"/>
        <v/>
      </c>
      <c r="AN203" s="54" t="str">
        <f t="shared" si="22"/>
        <v/>
      </c>
      <c r="AO203" s="56" t="e">
        <f t="shared" si="23"/>
        <v>#VALUE!</v>
      </c>
    </row>
    <row r="204" spans="1:41" x14ac:dyDescent="0.25">
      <c r="A204" s="54" t="str">
        <f>IF('Data Karyawan'!A199&lt;&gt;"", 'Data Karyawan'!A199, "")</f>
        <v/>
      </c>
      <c r="B204" s="54" t="str">
        <f>IF('Data Karyawan'!B199&lt;&gt;"", 'Data Karyawan'!B199, "")</f>
        <v/>
      </c>
      <c r="C204" s="55" t="str">
        <f>IF('Data Karyawan'!C199&lt;&gt;"", 'Data Karyawan'!C199, "")</f>
        <v/>
      </c>
      <c r="D204" s="54" t="str">
        <f>IF('Data Karyawan'!D199&lt;&gt;"", 'Data Karyawan'!D199, "")</f>
        <v/>
      </c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4" t="str">
        <f t="shared" si="18"/>
        <v/>
      </c>
      <c r="AK204" s="54" t="str">
        <f t="shared" si="19"/>
        <v/>
      </c>
      <c r="AL204" s="54" t="str">
        <f t="shared" si="20"/>
        <v/>
      </c>
      <c r="AM204" s="54" t="str">
        <f t="shared" si="21"/>
        <v/>
      </c>
      <c r="AN204" s="54" t="str">
        <f t="shared" si="22"/>
        <v/>
      </c>
      <c r="AO204" s="56" t="e">
        <f t="shared" si="23"/>
        <v>#VALUE!</v>
      </c>
    </row>
    <row r="205" spans="1:41" x14ac:dyDescent="0.25">
      <c r="A205" s="54" t="str">
        <f>IF('Data Karyawan'!A200&lt;&gt;"", 'Data Karyawan'!A200, "")</f>
        <v/>
      </c>
      <c r="B205" s="54" t="str">
        <f>IF('Data Karyawan'!B200&lt;&gt;"", 'Data Karyawan'!B200, "")</f>
        <v/>
      </c>
      <c r="C205" s="55" t="str">
        <f>IF('Data Karyawan'!C200&lt;&gt;"", 'Data Karyawan'!C200, "")</f>
        <v/>
      </c>
      <c r="D205" s="54" t="str">
        <f>IF('Data Karyawan'!D200&lt;&gt;"", 'Data Karyawan'!D200, "")</f>
        <v/>
      </c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4" t="str">
        <f t="shared" si="18"/>
        <v/>
      </c>
      <c r="AK205" s="54" t="str">
        <f t="shared" si="19"/>
        <v/>
      </c>
      <c r="AL205" s="54" t="str">
        <f t="shared" si="20"/>
        <v/>
      </c>
      <c r="AM205" s="54" t="str">
        <f t="shared" si="21"/>
        <v/>
      </c>
      <c r="AN205" s="54" t="str">
        <f t="shared" si="22"/>
        <v/>
      </c>
      <c r="AO205" s="56" t="e">
        <f t="shared" si="23"/>
        <v>#VALUE!</v>
      </c>
    </row>
    <row r="206" spans="1:41" x14ac:dyDescent="0.25">
      <c r="A206" s="54" t="str">
        <f>IF('Data Karyawan'!A201&lt;&gt;"", 'Data Karyawan'!A201, "")</f>
        <v/>
      </c>
      <c r="B206" s="54" t="str">
        <f>IF('Data Karyawan'!B201&lt;&gt;"", 'Data Karyawan'!B201, "")</f>
        <v/>
      </c>
      <c r="C206" s="55" t="str">
        <f>IF('Data Karyawan'!C201&lt;&gt;"", 'Data Karyawan'!C201, "")</f>
        <v/>
      </c>
      <c r="D206" s="54" t="str">
        <f>IF('Data Karyawan'!D201&lt;&gt;"", 'Data Karyawan'!D201, "")</f>
        <v/>
      </c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4" t="str">
        <f t="shared" si="18"/>
        <v/>
      </c>
      <c r="AK206" s="54" t="str">
        <f t="shared" si="19"/>
        <v/>
      </c>
      <c r="AL206" s="54" t="str">
        <f t="shared" si="20"/>
        <v/>
      </c>
      <c r="AM206" s="54" t="str">
        <f t="shared" si="21"/>
        <v/>
      </c>
      <c r="AN206" s="54" t="str">
        <f t="shared" si="22"/>
        <v/>
      </c>
      <c r="AO206" s="56" t="e">
        <f t="shared" si="23"/>
        <v>#VALUE!</v>
      </c>
    </row>
    <row r="207" spans="1:41" x14ac:dyDescent="0.25">
      <c r="A207" s="54" t="str">
        <f>IF('Data Karyawan'!A202&lt;&gt;"", 'Data Karyawan'!A202, "")</f>
        <v/>
      </c>
      <c r="B207" s="54" t="str">
        <f>IF('Data Karyawan'!B202&lt;&gt;"", 'Data Karyawan'!B202, "")</f>
        <v/>
      </c>
      <c r="C207" s="55" t="str">
        <f>IF('Data Karyawan'!C202&lt;&gt;"", 'Data Karyawan'!C202, "")</f>
        <v/>
      </c>
      <c r="D207" s="54" t="str">
        <f>IF('Data Karyawan'!D202&lt;&gt;"", 'Data Karyawan'!D202, "")</f>
        <v/>
      </c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4" t="str">
        <f t="shared" si="18"/>
        <v/>
      </c>
      <c r="AK207" s="54" t="str">
        <f t="shared" si="19"/>
        <v/>
      </c>
      <c r="AL207" s="54" t="str">
        <f t="shared" si="20"/>
        <v/>
      </c>
      <c r="AM207" s="54" t="str">
        <f t="shared" si="21"/>
        <v/>
      </c>
      <c r="AN207" s="54" t="str">
        <f t="shared" si="22"/>
        <v/>
      </c>
      <c r="AO207" s="56" t="e">
        <f t="shared" si="23"/>
        <v>#VALUE!</v>
      </c>
    </row>
    <row r="208" spans="1:41" x14ac:dyDescent="0.25">
      <c r="A208" s="54" t="str">
        <f>IF('Data Karyawan'!A203&lt;&gt;"", 'Data Karyawan'!A203, "")</f>
        <v/>
      </c>
      <c r="B208" s="54" t="str">
        <f>IF('Data Karyawan'!B203&lt;&gt;"", 'Data Karyawan'!B203, "")</f>
        <v/>
      </c>
      <c r="C208" s="55" t="str">
        <f>IF('Data Karyawan'!C203&lt;&gt;"", 'Data Karyawan'!C203, "")</f>
        <v/>
      </c>
      <c r="D208" s="54" t="str">
        <f>IF('Data Karyawan'!D203&lt;&gt;"", 'Data Karyawan'!D203, "")</f>
        <v/>
      </c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4" t="str">
        <f t="shared" si="18"/>
        <v/>
      </c>
      <c r="AK208" s="54" t="str">
        <f t="shared" si="19"/>
        <v/>
      </c>
      <c r="AL208" s="54" t="str">
        <f t="shared" si="20"/>
        <v/>
      </c>
      <c r="AM208" s="54" t="str">
        <f t="shared" si="21"/>
        <v/>
      </c>
      <c r="AN208" s="54" t="str">
        <f t="shared" si="22"/>
        <v/>
      </c>
      <c r="AO208" s="56" t="e">
        <f t="shared" si="23"/>
        <v>#VALUE!</v>
      </c>
    </row>
    <row r="209" spans="1:41" x14ac:dyDescent="0.25">
      <c r="A209" s="54" t="str">
        <f>IF('Data Karyawan'!A204&lt;&gt;"", 'Data Karyawan'!A204, "")</f>
        <v/>
      </c>
      <c r="B209" s="54" t="str">
        <f>IF('Data Karyawan'!B204&lt;&gt;"", 'Data Karyawan'!B204, "")</f>
        <v/>
      </c>
      <c r="C209" s="55" t="str">
        <f>IF('Data Karyawan'!C204&lt;&gt;"", 'Data Karyawan'!C204, "")</f>
        <v/>
      </c>
      <c r="D209" s="54" t="str">
        <f>IF('Data Karyawan'!D204&lt;&gt;"", 'Data Karyawan'!D204, "")</f>
        <v/>
      </c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4" t="str">
        <f t="shared" si="18"/>
        <v/>
      </c>
      <c r="AK209" s="54" t="str">
        <f t="shared" si="19"/>
        <v/>
      </c>
      <c r="AL209" s="54" t="str">
        <f t="shared" si="20"/>
        <v/>
      </c>
      <c r="AM209" s="54" t="str">
        <f t="shared" si="21"/>
        <v/>
      </c>
      <c r="AN209" s="54" t="str">
        <f t="shared" si="22"/>
        <v/>
      </c>
      <c r="AO209" s="56" t="e">
        <f t="shared" si="23"/>
        <v>#VALUE!</v>
      </c>
    </row>
    <row r="210" spans="1:41" x14ac:dyDescent="0.25">
      <c r="A210" s="54" t="str">
        <f>IF('Data Karyawan'!A205&lt;&gt;"", 'Data Karyawan'!A205, "")</f>
        <v/>
      </c>
      <c r="B210" s="54" t="str">
        <f>IF('Data Karyawan'!B205&lt;&gt;"", 'Data Karyawan'!B205, "")</f>
        <v/>
      </c>
      <c r="C210" s="55" t="str">
        <f>IF('Data Karyawan'!C205&lt;&gt;"", 'Data Karyawan'!C205, "")</f>
        <v/>
      </c>
      <c r="D210" s="54" t="str">
        <f>IF('Data Karyawan'!D205&lt;&gt;"", 'Data Karyawan'!D205, "")</f>
        <v/>
      </c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4" t="str">
        <f t="shared" si="18"/>
        <v/>
      </c>
      <c r="AK210" s="54" t="str">
        <f t="shared" si="19"/>
        <v/>
      </c>
      <c r="AL210" s="54" t="str">
        <f t="shared" si="20"/>
        <v/>
      </c>
      <c r="AM210" s="54" t="str">
        <f t="shared" si="21"/>
        <v/>
      </c>
      <c r="AN210" s="54" t="str">
        <f t="shared" si="22"/>
        <v/>
      </c>
      <c r="AO210" s="56" t="e">
        <f t="shared" si="23"/>
        <v>#VALUE!</v>
      </c>
    </row>
    <row r="211" spans="1:41" x14ac:dyDescent="0.25">
      <c r="A211" s="54" t="str">
        <f>IF('Data Karyawan'!A206&lt;&gt;"", 'Data Karyawan'!A206, "")</f>
        <v/>
      </c>
      <c r="B211" s="54" t="str">
        <f>IF('Data Karyawan'!B206&lt;&gt;"", 'Data Karyawan'!B206, "")</f>
        <v/>
      </c>
      <c r="C211" s="55" t="str">
        <f>IF('Data Karyawan'!C206&lt;&gt;"", 'Data Karyawan'!C206, "")</f>
        <v/>
      </c>
      <c r="D211" s="54" t="str">
        <f>IF('Data Karyawan'!D206&lt;&gt;"", 'Data Karyawan'!D206, "")</f>
        <v/>
      </c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4" t="str">
        <f t="shared" si="18"/>
        <v/>
      </c>
      <c r="AK211" s="54" t="str">
        <f t="shared" si="19"/>
        <v/>
      </c>
      <c r="AL211" s="54" t="str">
        <f t="shared" si="20"/>
        <v/>
      </c>
      <c r="AM211" s="54" t="str">
        <f t="shared" si="21"/>
        <v/>
      </c>
      <c r="AN211" s="54" t="str">
        <f t="shared" si="22"/>
        <v/>
      </c>
      <c r="AO211" s="56" t="e">
        <f t="shared" si="23"/>
        <v>#VALUE!</v>
      </c>
    </row>
    <row r="212" spans="1:41" x14ac:dyDescent="0.25">
      <c r="A212" s="54" t="str">
        <f>IF('Data Karyawan'!A207&lt;&gt;"", 'Data Karyawan'!A207, "")</f>
        <v/>
      </c>
      <c r="B212" s="54" t="str">
        <f>IF('Data Karyawan'!B207&lt;&gt;"", 'Data Karyawan'!B207, "")</f>
        <v/>
      </c>
      <c r="C212" s="55" t="str">
        <f>IF('Data Karyawan'!C207&lt;&gt;"", 'Data Karyawan'!C207, "")</f>
        <v/>
      </c>
      <c r="D212" s="54" t="str">
        <f>IF('Data Karyawan'!D207&lt;&gt;"", 'Data Karyawan'!D207, "")</f>
        <v/>
      </c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4" t="str">
        <f t="shared" si="18"/>
        <v/>
      </c>
      <c r="AK212" s="54" t="str">
        <f t="shared" si="19"/>
        <v/>
      </c>
      <c r="AL212" s="54" t="str">
        <f t="shared" si="20"/>
        <v/>
      </c>
      <c r="AM212" s="54" t="str">
        <f t="shared" si="21"/>
        <v/>
      </c>
      <c r="AN212" s="54" t="str">
        <f t="shared" si="22"/>
        <v/>
      </c>
      <c r="AO212" s="56" t="e">
        <f t="shared" si="23"/>
        <v>#VALUE!</v>
      </c>
    </row>
    <row r="213" spans="1:41" x14ac:dyDescent="0.25">
      <c r="A213" s="54" t="str">
        <f>IF('Data Karyawan'!A208&lt;&gt;"", 'Data Karyawan'!A208, "")</f>
        <v/>
      </c>
      <c r="B213" s="54" t="str">
        <f>IF('Data Karyawan'!B208&lt;&gt;"", 'Data Karyawan'!B208, "")</f>
        <v/>
      </c>
      <c r="C213" s="55" t="str">
        <f>IF('Data Karyawan'!C208&lt;&gt;"", 'Data Karyawan'!C208, "")</f>
        <v/>
      </c>
      <c r="D213" s="54" t="str">
        <f>IF('Data Karyawan'!D208&lt;&gt;"", 'Data Karyawan'!D208, "")</f>
        <v/>
      </c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4" t="str">
        <f t="shared" si="18"/>
        <v/>
      </c>
      <c r="AK213" s="54" t="str">
        <f t="shared" si="19"/>
        <v/>
      </c>
      <c r="AL213" s="54" t="str">
        <f t="shared" si="20"/>
        <v/>
      </c>
      <c r="AM213" s="54" t="str">
        <f t="shared" si="21"/>
        <v/>
      </c>
      <c r="AN213" s="54" t="str">
        <f t="shared" si="22"/>
        <v/>
      </c>
      <c r="AO213" s="56" t="e">
        <f t="shared" si="23"/>
        <v>#VALUE!</v>
      </c>
    </row>
    <row r="214" spans="1:41" x14ac:dyDescent="0.25">
      <c r="A214" s="54" t="str">
        <f>IF('Data Karyawan'!A209&lt;&gt;"", 'Data Karyawan'!A209, "")</f>
        <v/>
      </c>
      <c r="B214" s="54" t="str">
        <f>IF('Data Karyawan'!B209&lt;&gt;"", 'Data Karyawan'!B209, "")</f>
        <v/>
      </c>
      <c r="C214" s="55" t="str">
        <f>IF('Data Karyawan'!C209&lt;&gt;"", 'Data Karyawan'!C209, "")</f>
        <v/>
      </c>
      <c r="D214" s="54" t="str">
        <f>IF('Data Karyawan'!D209&lt;&gt;"", 'Data Karyawan'!D209, "")</f>
        <v/>
      </c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4" t="str">
        <f t="shared" si="18"/>
        <v/>
      </c>
      <c r="AK214" s="54" t="str">
        <f t="shared" si="19"/>
        <v/>
      </c>
      <c r="AL214" s="54" t="str">
        <f t="shared" si="20"/>
        <v/>
      </c>
      <c r="AM214" s="54" t="str">
        <f t="shared" si="21"/>
        <v/>
      </c>
      <c r="AN214" s="54" t="str">
        <f t="shared" si="22"/>
        <v/>
      </c>
      <c r="AO214" s="56" t="e">
        <f t="shared" si="23"/>
        <v>#VALUE!</v>
      </c>
    </row>
    <row r="215" spans="1:41" x14ac:dyDescent="0.25">
      <c r="A215" s="54" t="str">
        <f>IF('Data Karyawan'!A210&lt;&gt;"", 'Data Karyawan'!A210, "")</f>
        <v/>
      </c>
      <c r="B215" s="54" t="str">
        <f>IF('Data Karyawan'!B210&lt;&gt;"", 'Data Karyawan'!B210, "")</f>
        <v/>
      </c>
      <c r="C215" s="55" t="str">
        <f>IF('Data Karyawan'!C210&lt;&gt;"", 'Data Karyawan'!C210, "")</f>
        <v/>
      </c>
      <c r="D215" s="54" t="str">
        <f>IF('Data Karyawan'!D210&lt;&gt;"", 'Data Karyawan'!D210, "")</f>
        <v/>
      </c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4" t="str">
        <f t="shared" si="18"/>
        <v/>
      </c>
      <c r="AK215" s="54" t="str">
        <f t="shared" si="19"/>
        <v/>
      </c>
      <c r="AL215" s="54" t="str">
        <f t="shared" si="20"/>
        <v/>
      </c>
      <c r="AM215" s="54" t="str">
        <f t="shared" si="21"/>
        <v/>
      </c>
      <c r="AN215" s="54" t="str">
        <f t="shared" si="22"/>
        <v/>
      </c>
      <c r="AO215" s="56" t="e">
        <f t="shared" si="23"/>
        <v>#VALUE!</v>
      </c>
    </row>
    <row r="216" spans="1:41" x14ac:dyDescent="0.25">
      <c r="A216" s="54" t="str">
        <f>IF('Data Karyawan'!A211&lt;&gt;"", 'Data Karyawan'!A211, "")</f>
        <v/>
      </c>
      <c r="B216" s="54" t="str">
        <f>IF('Data Karyawan'!B211&lt;&gt;"", 'Data Karyawan'!B211, "")</f>
        <v/>
      </c>
      <c r="C216" s="55" t="str">
        <f>IF('Data Karyawan'!C211&lt;&gt;"", 'Data Karyawan'!C211, "")</f>
        <v/>
      </c>
      <c r="D216" s="54" t="str">
        <f>IF('Data Karyawan'!D211&lt;&gt;"", 'Data Karyawan'!D211, "")</f>
        <v/>
      </c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4" t="str">
        <f t="shared" si="18"/>
        <v/>
      </c>
      <c r="AK216" s="54" t="str">
        <f t="shared" si="19"/>
        <v/>
      </c>
      <c r="AL216" s="54" t="str">
        <f t="shared" si="20"/>
        <v/>
      </c>
      <c r="AM216" s="54" t="str">
        <f t="shared" si="21"/>
        <v/>
      </c>
      <c r="AN216" s="54" t="str">
        <f t="shared" si="22"/>
        <v/>
      </c>
      <c r="AO216" s="56" t="e">
        <f t="shared" si="23"/>
        <v>#VALUE!</v>
      </c>
    </row>
    <row r="217" spans="1:41" x14ac:dyDescent="0.25">
      <c r="A217" s="54" t="str">
        <f>IF('Data Karyawan'!A212&lt;&gt;"", 'Data Karyawan'!A212, "")</f>
        <v/>
      </c>
      <c r="B217" s="54" t="str">
        <f>IF('Data Karyawan'!B212&lt;&gt;"", 'Data Karyawan'!B212, "")</f>
        <v/>
      </c>
      <c r="C217" s="55" t="str">
        <f>IF('Data Karyawan'!C212&lt;&gt;"", 'Data Karyawan'!C212, "")</f>
        <v/>
      </c>
      <c r="D217" s="54" t="str">
        <f>IF('Data Karyawan'!D212&lt;&gt;"", 'Data Karyawan'!D212, "")</f>
        <v/>
      </c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4" t="str">
        <f t="shared" si="18"/>
        <v/>
      </c>
      <c r="AK217" s="54" t="str">
        <f t="shared" si="19"/>
        <v/>
      </c>
      <c r="AL217" s="54" t="str">
        <f t="shared" si="20"/>
        <v/>
      </c>
      <c r="AM217" s="54" t="str">
        <f t="shared" si="21"/>
        <v/>
      </c>
      <c r="AN217" s="54" t="str">
        <f t="shared" si="22"/>
        <v/>
      </c>
      <c r="AO217" s="56" t="e">
        <f t="shared" si="23"/>
        <v>#VALUE!</v>
      </c>
    </row>
    <row r="218" spans="1:41" x14ac:dyDescent="0.25">
      <c r="A218" s="54" t="str">
        <f>IF('Data Karyawan'!A213&lt;&gt;"", 'Data Karyawan'!A213, "")</f>
        <v/>
      </c>
      <c r="B218" s="54" t="str">
        <f>IF('Data Karyawan'!B213&lt;&gt;"", 'Data Karyawan'!B213, "")</f>
        <v/>
      </c>
      <c r="C218" s="55" t="str">
        <f>IF('Data Karyawan'!C213&lt;&gt;"", 'Data Karyawan'!C213, "")</f>
        <v/>
      </c>
      <c r="D218" s="54" t="str">
        <f>IF('Data Karyawan'!D213&lt;&gt;"", 'Data Karyawan'!D213, "")</f>
        <v/>
      </c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4" t="str">
        <f t="shared" si="18"/>
        <v/>
      </c>
      <c r="AK218" s="54" t="str">
        <f t="shared" si="19"/>
        <v/>
      </c>
      <c r="AL218" s="54" t="str">
        <f t="shared" si="20"/>
        <v/>
      </c>
      <c r="AM218" s="54" t="str">
        <f t="shared" si="21"/>
        <v/>
      </c>
      <c r="AN218" s="54" t="str">
        <f t="shared" si="22"/>
        <v/>
      </c>
      <c r="AO218" s="56" t="e">
        <f t="shared" si="23"/>
        <v>#VALUE!</v>
      </c>
    </row>
    <row r="219" spans="1:41" x14ac:dyDescent="0.25">
      <c r="A219" s="54" t="str">
        <f>IF('Data Karyawan'!A214&lt;&gt;"", 'Data Karyawan'!A214, "")</f>
        <v/>
      </c>
      <c r="B219" s="54" t="str">
        <f>IF('Data Karyawan'!B214&lt;&gt;"", 'Data Karyawan'!B214, "")</f>
        <v/>
      </c>
      <c r="C219" s="55" t="str">
        <f>IF('Data Karyawan'!C214&lt;&gt;"", 'Data Karyawan'!C214, "")</f>
        <v/>
      </c>
      <c r="D219" s="54" t="str">
        <f>IF('Data Karyawan'!D214&lt;&gt;"", 'Data Karyawan'!D214, "")</f>
        <v/>
      </c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4" t="str">
        <f t="shared" si="18"/>
        <v/>
      </c>
      <c r="AK219" s="54" t="str">
        <f t="shared" si="19"/>
        <v/>
      </c>
      <c r="AL219" s="54" t="str">
        <f t="shared" si="20"/>
        <v/>
      </c>
      <c r="AM219" s="54" t="str">
        <f t="shared" si="21"/>
        <v/>
      </c>
      <c r="AN219" s="54" t="str">
        <f t="shared" si="22"/>
        <v/>
      </c>
      <c r="AO219" s="56" t="e">
        <f t="shared" si="23"/>
        <v>#VALUE!</v>
      </c>
    </row>
    <row r="220" spans="1:41" x14ac:dyDescent="0.25">
      <c r="A220" s="54" t="str">
        <f>IF('Data Karyawan'!A215&lt;&gt;"", 'Data Karyawan'!A215, "")</f>
        <v/>
      </c>
      <c r="B220" s="54" t="str">
        <f>IF('Data Karyawan'!B215&lt;&gt;"", 'Data Karyawan'!B215, "")</f>
        <v/>
      </c>
      <c r="C220" s="55" t="str">
        <f>IF('Data Karyawan'!C215&lt;&gt;"", 'Data Karyawan'!C215, "")</f>
        <v/>
      </c>
      <c r="D220" s="54" t="str">
        <f>IF('Data Karyawan'!D215&lt;&gt;"", 'Data Karyawan'!D215, "")</f>
        <v/>
      </c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4" t="str">
        <f t="shared" si="18"/>
        <v/>
      </c>
      <c r="AK220" s="54" t="str">
        <f t="shared" si="19"/>
        <v/>
      </c>
      <c r="AL220" s="54" t="str">
        <f t="shared" si="20"/>
        <v/>
      </c>
      <c r="AM220" s="54" t="str">
        <f t="shared" si="21"/>
        <v/>
      </c>
      <c r="AN220" s="54" t="str">
        <f t="shared" si="22"/>
        <v/>
      </c>
      <c r="AO220" s="56" t="e">
        <f t="shared" si="23"/>
        <v>#VALUE!</v>
      </c>
    </row>
    <row r="221" spans="1:41" x14ac:dyDescent="0.25">
      <c r="A221" s="54" t="str">
        <f>IF('Data Karyawan'!A216&lt;&gt;"", 'Data Karyawan'!A216, "")</f>
        <v/>
      </c>
      <c r="B221" s="54" t="str">
        <f>IF('Data Karyawan'!B216&lt;&gt;"", 'Data Karyawan'!B216, "")</f>
        <v/>
      </c>
      <c r="C221" s="55" t="str">
        <f>IF('Data Karyawan'!C216&lt;&gt;"", 'Data Karyawan'!C216, "")</f>
        <v/>
      </c>
      <c r="D221" s="54" t="str">
        <f>IF('Data Karyawan'!D216&lt;&gt;"", 'Data Karyawan'!D216, "")</f>
        <v/>
      </c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4" t="str">
        <f t="shared" si="18"/>
        <v/>
      </c>
      <c r="AK221" s="54" t="str">
        <f t="shared" si="19"/>
        <v/>
      </c>
      <c r="AL221" s="54" t="str">
        <f t="shared" si="20"/>
        <v/>
      </c>
      <c r="AM221" s="54" t="str">
        <f t="shared" si="21"/>
        <v/>
      </c>
      <c r="AN221" s="54" t="str">
        <f t="shared" si="22"/>
        <v/>
      </c>
      <c r="AO221" s="56" t="e">
        <f t="shared" si="23"/>
        <v>#VALUE!</v>
      </c>
    </row>
    <row r="222" spans="1:41" x14ac:dyDescent="0.25">
      <c r="A222" s="54" t="str">
        <f>IF('Data Karyawan'!A217&lt;&gt;"", 'Data Karyawan'!A217, "")</f>
        <v/>
      </c>
      <c r="B222" s="54" t="str">
        <f>IF('Data Karyawan'!B217&lt;&gt;"", 'Data Karyawan'!B217, "")</f>
        <v/>
      </c>
      <c r="C222" s="55" t="str">
        <f>IF('Data Karyawan'!C217&lt;&gt;"", 'Data Karyawan'!C217, "")</f>
        <v/>
      </c>
      <c r="D222" s="54" t="str">
        <f>IF('Data Karyawan'!D217&lt;&gt;"", 'Data Karyawan'!D217, "")</f>
        <v/>
      </c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4" t="str">
        <f t="shared" si="18"/>
        <v/>
      </c>
      <c r="AK222" s="54" t="str">
        <f t="shared" si="19"/>
        <v/>
      </c>
      <c r="AL222" s="54" t="str">
        <f t="shared" si="20"/>
        <v/>
      </c>
      <c r="AM222" s="54" t="str">
        <f t="shared" si="21"/>
        <v/>
      </c>
      <c r="AN222" s="54" t="str">
        <f t="shared" si="22"/>
        <v/>
      </c>
      <c r="AO222" s="56" t="e">
        <f t="shared" si="23"/>
        <v>#VALUE!</v>
      </c>
    </row>
    <row r="223" spans="1:41" x14ac:dyDescent="0.25">
      <c r="A223" s="54" t="str">
        <f>IF('Data Karyawan'!A218&lt;&gt;"", 'Data Karyawan'!A218, "")</f>
        <v/>
      </c>
      <c r="B223" s="54" t="str">
        <f>IF('Data Karyawan'!B218&lt;&gt;"", 'Data Karyawan'!B218, "")</f>
        <v/>
      </c>
      <c r="C223" s="55" t="str">
        <f>IF('Data Karyawan'!C218&lt;&gt;"", 'Data Karyawan'!C218, "")</f>
        <v/>
      </c>
      <c r="D223" s="54" t="str">
        <f>IF('Data Karyawan'!D218&lt;&gt;"", 'Data Karyawan'!D218, "")</f>
        <v/>
      </c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4" t="str">
        <f t="shared" si="18"/>
        <v/>
      </c>
      <c r="AK223" s="54" t="str">
        <f t="shared" si="19"/>
        <v/>
      </c>
      <c r="AL223" s="54" t="str">
        <f t="shared" si="20"/>
        <v/>
      </c>
      <c r="AM223" s="54" t="str">
        <f t="shared" si="21"/>
        <v/>
      </c>
      <c r="AN223" s="54" t="str">
        <f t="shared" si="22"/>
        <v/>
      </c>
      <c r="AO223" s="56" t="e">
        <f t="shared" si="23"/>
        <v>#VALUE!</v>
      </c>
    </row>
    <row r="224" spans="1:41" x14ac:dyDescent="0.25">
      <c r="A224" s="54" t="str">
        <f>IF('Data Karyawan'!A219&lt;&gt;"", 'Data Karyawan'!A219, "")</f>
        <v/>
      </c>
      <c r="B224" s="54" t="str">
        <f>IF('Data Karyawan'!B219&lt;&gt;"", 'Data Karyawan'!B219, "")</f>
        <v/>
      </c>
      <c r="C224" s="55" t="str">
        <f>IF('Data Karyawan'!C219&lt;&gt;"", 'Data Karyawan'!C219, "")</f>
        <v/>
      </c>
      <c r="D224" s="54" t="str">
        <f>IF('Data Karyawan'!D219&lt;&gt;"", 'Data Karyawan'!D219, "")</f>
        <v/>
      </c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4" t="str">
        <f t="shared" si="18"/>
        <v/>
      </c>
      <c r="AK224" s="54" t="str">
        <f t="shared" si="19"/>
        <v/>
      </c>
      <c r="AL224" s="54" t="str">
        <f t="shared" si="20"/>
        <v/>
      </c>
      <c r="AM224" s="54" t="str">
        <f t="shared" si="21"/>
        <v/>
      </c>
      <c r="AN224" s="54" t="str">
        <f t="shared" si="22"/>
        <v/>
      </c>
      <c r="AO224" s="56" t="e">
        <f t="shared" si="23"/>
        <v>#VALUE!</v>
      </c>
    </row>
    <row r="225" spans="1:41" x14ac:dyDescent="0.25">
      <c r="A225" s="54" t="str">
        <f>IF('Data Karyawan'!A220&lt;&gt;"", 'Data Karyawan'!A220, "")</f>
        <v/>
      </c>
      <c r="B225" s="54" t="str">
        <f>IF('Data Karyawan'!B220&lt;&gt;"", 'Data Karyawan'!B220, "")</f>
        <v/>
      </c>
      <c r="C225" s="55" t="str">
        <f>IF('Data Karyawan'!C220&lt;&gt;"", 'Data Karyawan'!C220, "")</f>
        <v/>
      </c>
      <c r="D225" s="54" t="str">
        <f>IF('Data Karyawan'!D220&lt;&gt;"", 'Data Karyawan'!D220, "")</f>
        <v/>
      </c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4" t="str">
        <f t="shared" si="18"/>
        <v/>
      </c>
      <c r="AK225" s="54" t="str">
        <f t="shared" si="19"/>
        <v/>
      </c>
      <c r="AL225" s="54" t="str">
        <f t="shared" si="20"/>
        <v/>
      </c>
      <c r="AM225" s="54" t="str">
        <f t="shared" si="21"/>
        <v/>
      </c>
      <c r="AN225" s="54" t="str">
        <f t="shared" si="22"/>
        <v/>
      </c>
      <c r="AO225" s="56" t="e">
        <f t="shared" si="23"/>
        <v>#VALUE!</v>
      </c>
    </row>
    <row r="226" spans="1:41" x14ac:dyDescent="0.25">
      <c r="A226" s="54" t="str">
        <f>IF('Data Karyawan'!A221&lt;&gt;"", 'Data Karyawan'!A221, "")</f>
        <v/>
      </c>
      <c r="B226" s="54" t="str">
        <f>IF('Data Karyawan'!B221&lt;&gt;"", 'Data Karyawan'!B221, "")</f>
        <v/>
      </c>
      <c r="C226" s="55" t="str">
        <f>IF('Data Karyawan'!C221&lt;&gt;"", 'Data Karyawan'!C221, "")</f>
        <v/>
      </c>
      <c r="D226" s="54" t="str">
        <f>IF('Data Karyawan'!D221&lt;&gt;"", 'Data Karyawan'!D221, "")</f>
        <v/>
      </c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4" t="str">
        <f t="shared" si="18"/>
        <v/>
      </c>
      <c r="AK226" s="54" t="str">
        <f t="shared" si="19"/>
        <v/>
      </c>
      <c r="AL226" s="54" t="str">
        <f t="shared" si="20"/>
        <v/>
      </c>
      <c r="AM226" s="54" t="str">
        <f t="shared" si="21"/>
        <v/>
      </c>
      <c r="AN226" s="54" t="str">
        <f t="shared" si="22"/>
        <v/>
      </c>
      <c r="AO226" s="56" t="e">
        <f t="shared" si="23"/>
        <v>#VALUE!</v>
      </c>
    </row>
    <row r="227" spans="1:41" x14ac:dyDescent="0.25">
      <c r="A227" s="54" t="str">
        <f>IF('Data Karyawan'!A222&lt;&gt;"", 'Data Karyawan'!A222, "")</f>
        <v/>
      </c>
      <c r="B227" s="54" t="str">
        <f>IF('Data Karyawan'!B222&lt;&gt;"", 'Data Karyawan'!B222, "")</f>
        <v/>
      </c>
      <c r="C227" s="55" t="str">
        <f>IF('Data Karyawan'!C222&lt;&gt;"", 'Data Karyawan'!C222, "")</f>
        <v/>
      </c>
      <c r="D227" s="54" t="str">
        <f>IF('Data Karyawan'!D222&lt;&gt;"", 'Data Karyawan'!D222, "")</f>
        <v/>
      </c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4" t="str">
        <f t="shared" si="18"/>
        <v/>
      </c>
      <c r="AK227" s="54" t="str">
        <f t="shared" si="19"/>
        <v/>
      </c>
      <c r="AL227" s="54" t="str">
        <f t="shared" si="20"/>
        <v/>
      </c>
      <c r="AM227" s="54" t="str">
        <f t="shared" si="21"/>
        <v/>
      </c>
      <c r="AN227" s="54" t="str">
        <f t="shared" si="22"/>
        <v/>
      </c>
      <c r="AO227" s="56" t="e">
        <f t="shared" si="23"/>
        <v>#VALUE!</v>
      </c>
    </row>
    <row r="228" spans="1:41" x14ac:dyDescent="0.25">
      <c r="A228" s="54" t="str">
        <f>IF('Data Karyawan'!A223&lt;&gt;"", 'Data Karyawan'!A223, "")</f>
        <v/>
      </c>
      <c r="B228" s="54" t="str">
        <f>IF('Data Karyawan'!B223&lt;&gt;"", 'Data Karyawan'!B223, "")</f>
        <v/>
      </c>
      <c r="C228" s="55" t="str">
        <f>IF('Data Karyawan'!C223&lt;&gt;"", 'Data Karyawan'!C223, "")</f>
        <v/>
      </c>
      <c r="D228" s="54" t="str">
        <f>IF('Data Karyawan'!D223&lt;&gt;"", 'Data Karyawan'!D223, "")</f>
        <v/>
      </c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4" t="str">
        <f t="shared" si="18"/>
        <v/>
      </c>
      <c r="AK228" s="54" t="str">
        <f t="shared" si="19"/>
        <v/>
      </c>
      <c r="AL228" s="54" t="str">
        <f t="shared" si="20"/>
        <v/>
      </c>
      <c r="AM228" s="54" t="str">
        <f t="shared" si="21"/>
        <v/>
      </c>
      <c r="AN228" s="54" t="str">
        <f t="shared" si="22"/>
        <v/>
      </c>
      <c r="AO228" s="56" t="e">
        <f t="shared" si="23"/>
        <v>#VALUE!</v>
      </c>
    </row>
    <row r="229" spans="1:41" x14ac:dyDescent="0.25">
      <c r="A229" s="54" t="str">
        <f>IF('Data Karyawan'!A224&lt;&gt;"", 'Data Karyawan'!A224, "")</f>
        <v/>
      </c>
      <c r="B229" s="54" t="str">
        <f>IF('Data Karyawan'!B224&lt;&gt;"", 'Data Karyawan'!B224, "")</f>
        <v/>
      </c>
      <c r="C229" s="55" t="str">
        <f>IF('Data Karyawan'!C224&lt;&gt;"", 'Data Karyawan'!C224, "")</f>
        <v/>
      </c>
      <c r="D229" s="54" t="str">
        <f>IF('Data Karyawan'!D224&lt;&gt;"", 'Data Karyawan'!D224, "")</f>
        <v/>
      </c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4" t="str">
        <f t="shared" si="18"/>
        <v/>
      </c>
      <c r="AK229" s="54" t="str">
        <f t="shared" si="19"/>
        <v/>
      </c>
      <c r="AL229" s="54" t="str">
        <f t="shared" si="20"/>
        <v/>
      </c>
      <c r="AM229" s="54" t="str">
        <f t="shared" si="21"/>
        <v/>
      </c>
      <c r="AN229" s="54" t="str">
        <f t="shared" si="22"/>
        <v/>
      </c>
      <c r="AO229" s="56" t="e">
        <f t="shared" si="23"/>
        <v>#VALUE!</v>
      </c>
    </row>
    <row r="230" spans="1:41" x14ac:dyDescent="0.25">
      <c r="A230" s="54" t="str">
        <f>IF('Data Karyawan'!A225&lt;&gt;"", 'Data Karyawan'!A225, "")</f>
        <v/>
      </c>
      <c r="B230" s="54" t="str">
        <f>IF('Data Karyawan'!B225&lt;&gt;"", 'Data Karyawan'!B225, "")</f>
        <v/>
      </c>
      <c r="C230" s="55" t="str">
        <f>IF('Data Karyawan'!C225&lt;&gt;"", 'Data Karyawan'!C225, "")</f>
        <v/>
      </c>
      <c r="D230" s="54" t="str">
        <f>IF('Data Karyawan'!D225&lt;&gt;"", 'Data Karyawan'!D225, "")</f>
        <v/>
      </c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4" t="str">
        <f t="shared" si="18"/>
        <v/>
      </c>
      <c r="AK230" s="54" t="str">
        <f t="shared" si="19"/>
        <v/>
      </c>
      <c r="AL230" s="54" t="str">
        <f t="shared" si="20"/>
        <v/>
      </c>
      <c r="AM230" s="54" t="str">
        <f t="shared" si="21"/>
        <v/>
      </c>
      <c r="AN230" s="54" t="str">
        <f t="shared" si="22"/>
        <v/>
      </c>
      <c r="AO230" s="56" t="e">
        <f t="shared" si="23"/>
        <v>#VALUE!</v>
      </c>
    </row>
    <row r="231" spans="1:41" x14ac:dyDescent="0.25">
      <c r="A231" s="54" t="str">
        <f>IF('Data Karyawan'!A226&lt;&gt;"", 'Data Karyawan'!A226, "")</f>
        <v/>
      </c>
      <c r="B231" s="54" t="str">
        <f>IF('Data Karyawan'!B226&lt;&gt;"", 'Data Karyawan'!B226, "")</f>
        <v/>
      </c>
      <c r="C231" s="55" t="str">
        <f>IF('Data Karyawan'!C226&lt;&gt;"", 'Data Karyawan'!C226, "")</f>
        <v/>
      </c>
      <c r="D231" s="54" t="str">
        <f>IF('Data Karyawan'!D226&lt;&gt;"", 'Data Karyawan'!D226, "")</f>
        <v/>
      </c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4" t="str">
        <f t="shared" si="18"/>
        <v/>
      </c>
      <c r="AK231" s="54" t="str">
        <f t="shared" si="19"/>
        <v/>
      </c>
      <c r="AL231" s="54" t="str">
        <f t="shared" si="20"/>
        <v/>
      </c>
      <c r="AM231" s="54" t="str">
        <f t="shared" si="21"/>
        <v/>
      </c>
      <c r="AN231" s="54" t="str">
        <f t="shared" si="22"/>
        <v/>
      </c>
      <c r="AO231" s="56" t="e">
        <f t="shared" si="23"/>
        <v>#VALUE!</v>
      </c>
    </row>
    <row r="232" spans="1:41" x14ac:dyDescent="0.25">
      <c r="A232" s="54" t="str">
        <f>IF('Data Karyawan'!A227&lt;&gt;"", 'Data Karyawan'!A227, "")</f>
        <v/>
      </c>
      <c r="B232" s="54" t="str">
        <f>IF('Data Karyawan'!B227&lt;&gt;"", 'Data Karyawan'!B227, "")</f>
        <v/>
      </c>
      <c r="C232" s="55" t="str">
        <f>IF('Data Karyawan'!C227&lt;&gt;"", 'Data Karyawan'!C227, "")</f>
        <v/>
      </c>
      <c r="D232" s="54" t="str">
        <f>IF('Data Karyawan'!D227&lt;&gt;"", 'Data Karyawan'!D227, "")</f>
        <v/>
      </c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4" t="str">
        <f t="shared" si="18"/>
        <v/>
      </c>
      <c r="AK232" s="54" t="str">
        <f t="shared" si="19"/>
        <v/>
      </c>
      <c r="AL232" s="54" t="str">
        <f t="shared" si="20"/>
        <v/>
      </c>
      <c r="AM232" s="54" t="str">
        <f t="shared" si="21"/>
        <v/>
      </c>
      <c r="AN232" s="54" t="str">
        <f t="shared" si="22"/>
        <v/>
      </c>
      <c r="AO232" s="56" t="e">
        <f t="shared" si="23"/>
        <v>#VALUE!</v>
      </c>
    </row>
    <row r="233" spans="1:41" x14ac:dyDescent="0.25">
      <c r="A233" s="54" t="str">
        <f>IF('Data Karyawan'!A228&lt;&gt;"", 'Data Karyawan'!A228, "")</f>
        <v/>
      </c>
      <c r="B233" s="54" t="str">
        <f>IF('Data Karyawan'!B228&lt;&gt;"", 'Data Karyawan'!B228, "")</f>
        <v/>
      </c>
      <c r="C233" s="55" t="str">
        <f>IF('Data Karyawan'!C228&lt;&gt;"", 'Data Karyawan'!C228, "")</f>
        <v/>
      </c>
      <c r="D233" s="54" t="str">
        <f>IF('Data Karyawan'!D228&lt;&gt;"", 'Data Karyawan'!D228, "")</f>
        <v/>
      </c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4" t="str">
        <f t="shared" si="18"/>
        <v/>
      </c>
      <c r="AK233" s="54" t="str">
        <f t="shared" si="19"/>
        <v/>
      </c>
      <c r="AL233" s="54" t="str">
        <f t="shared" si="20"/>
        <v/>
      </c>
      <c r="AM233" s="54" t="str">
        <f t="shared" si="21"/>
        <v/>
      </c>
      <c r="AN233" s="54" t="str">
        <f t="shared" si="22"/>
        <v/>
      </c>
      <c r="AO233" s="56" t="e">
        <f t="shared" si="23"/>
        <v>#VALUE!</v>
      </c>
    </row>
    <row r="234" spans="1:41" x14ac:dyDescent="0.25">
      <c r="A234" s="54" t="str">
        <f>IF('Data Karyawan'!A229&lt;&gt;"", 'Data Karyawan'!A229, "")</f>
        <v/>
      </c>
      <c r="B234" s="54" t="str">
        <f>IF('Data Karyawan'!B229&lt;&gt;"", 'Data Karyawan'!B229, "")</f>
        <v/>
      </c>
      <c r="C234" s="55" t="str">
        <f>IF('Data Karyawan'!C229&lt;&gt;"", 'Data Karyawan'!C229, "")</f>
        <v/>
      </c>
      <c r="D234" s="54" t="str">
        <f>IF('Data Karyawan'!D229&lt;&gt;"", 'Data Karyawan'!D229, "")</f>
        <v/>
      </c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4" t="str">
        <f t="shared" si="18"/>
        <v/>
      </c>
      <c r="AK234" s="54" t="str">
        <f t="shared" si="19"/>
        <v/>
      </c>
      <c r="AL234" s="54" t="str">
        <f t="shared" si="20"/>
        <v/>
      </c>
      <c r="AM234" s="54" t="str">
        <f t="shared" si="21"/>
        <v/>
      </c>
      <c r="AN234" s="54" t="str">
        <f t="shared" si="22"/>
        <v/>
      </c>
      <c r="AO234" s="56" t="e">
        <f t="shared" si="23"/>
        <v>#VALUE!</v>
      </c>
    </row>
    <row r="235" spans="1:41" x14ac:dyDescent="0.25">
      <c r="A235" s="54" t="str">
        <f>IF('Data Karyawan'!A230&lt;&gt;"", 'Data Karyawan'!A230, "")</f>
        <v/>
      </c>
      <c r="B235" s="54" t="str">
        <f>IF('Data Karyawan'!B230&lt;&gt;"", 'Data Karyawan'!B230, "")</f>
        <v/>
      </c>
      <c r="C235" s="55" t="str">
        <f>IF('Data Karyawan'!C230&lt;&gt;"", 'Data Karyawan'!C230, "")</f>
        <v/>
      </c>
      <c r="D235" s="54" t="str">
        <f>IF('Data Karyawan'!D230&lt;&gt;"", 'Data Karyawan'!D230, "")</f>
        <v/>
      </c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4" t="str">
        <f t="shared" si="18"/>
        <v/>
      </c>
      <c r="AK235" s="54" t="str">
        <f t="shared" si="19"/>
        <v/>
      </c>
      <c r="AL235" s="54" t="str">
        <f t="shared" si="20"/>
        <v/>
      </c>
      <c r="AM235" s="54" t="str">
        <f t="shared" si="21"/>
        <v/>
      </c>
      <c r="AN235" s="54" t="str">
        <f t="shared" si="22"/>
        <v/>
      </c>
      <c r="AO235" s="56" t="e">
        <f t="shared" si="23"/>
        <v>#VALUE!</v>
      </c>
    </row>
    <row r="236" spans="1:41" x14ac:dyDescent="0.25">
      <c r="A236" s="54" t="str">
        <f>IF('Data Karyawan'!A231&lt;&gt;"", 'Data Karyawan'!A231, "")</f>
        <v/>
      </c>
      <c r="B236" s="54" t="str">
        <f>IF('Data Karyawan'!B231&lt;&gt;"", 'Data Karyawan'!B231, "")</f>
        <v/>
      </c>
      <c r="C236" s="55" t="str">
        <f>IF('Data Karyawan'!C231&lt;&gt;"", 'Data Karyawan'!C231, "")</f>
        <v/>
      </c>
      <c r="D236" s="54" t="str">
        <f>IF('Data Karyawan'!D231&lt;&gt;"", 'Data Karyawan'!D231, "")</f>
        <v/>
      </c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4" t="str">
        <f t="shared" si="18"/>
        <v/>
      </c>
      <c r="AK236" s="54" t="str">
        <f t="shared" si="19"/>
        <v/>
      </c>
      <c r="AL236" s="54" t="str">
        <f t="shared" si="20"/>
        <v/>
      </c>
      <c r="AM236" s="54" t="str">
        <f t="shared" si="21"/>
        <v/>
      </c>
      <c r="AN236" s="54" t="str">
        <f t="shared" si="22"/>
        <v/>
      </c>
      <c r="AO236" s="56" t="e">
        <f t="shared" si="23"/>
        <v>#VALUE!</v>
      </c>
    </row>
    <row r="237" spans="1:41" x14ac:dyDescent="0.25">
      <c r="A237" s="54" t="str">
        <f>IF('Data Karyawan'!A232&lt;&gt;"", 'Data Karyawan'!A232, "")</f>
        <v/>
      </c>
      <c r="B237" s="54" t="str">
        <f>IF('Data Karyawan'!B232&lt;&gt;"", 'Data Karyawan'!B232, "")</f>
        <v/>
      </c>
      <c r="C237" s="55" t="str">
        <f>IF('Data Karyawan'!C232&lt;&gt;"", 'Data Karyawan'!C232, "")</f>
        <v/>
      </c>
      <c r="D237" s="54" t="str">
        <f>IF('Data Karyawan'!D232&lt;&gt;"", 'Data Karyawan'!D232, "")</f>
        <v/>
      </c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4" t="str">
        <f t="shared" si="18"/>
        <v/>
      </c>
      <c r="AK237" s="54" t="str">
        <f t="shared" si="19"/>
        <v/>
      </c>
      <c r="AL237" s="54" t="str">
        <f t="shared" si="20"/>
        <v/>
      </c>
      <c r="AM237" s="54" t="str">
        <f t="shared" si="21"/>
        <v/>
      </c>
      <c r="AN237" s="54" t="str">
        <f t="shared" si="22"/>
        <v/>
      </c>
      <c r="AO237" s="56" t="e">
        <f t="shared" si="23"/>
        <v>#VALUE!</v>
      </c>
    </row>
    <row r="238" spans="1:41" x14ac:dyDescent="0.25">
      <c r="A238" s="54" t="str">
        <f>IF('Data Karyawan'!A233&lt;&gt;"", 'Data Karyawan'!A233, "")</f>
        <v/>
      </c>
      <c r="B238" s="54" t="str">
        <f>IF('Data Karyawan'!B233&lt;&gt;"", 'Data Karyawan'!B233, "")</f>
        <v/>
      </c>
      <c r="C238" s="55" t="str">
        <f>IF('Data Karyawan'!C233&lt;&gt;"", 'Data Karyawan'!C233, "")</f>
        <v/>
      </c>
      <c r="D238" s="54" t="str">
        <f>IF('Data Karyawan'!D233&lt;&gt;"", 'Data Karyawan'!D233, "")</f>
        <v/>
      </c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4" t="str">
        <f t="shared" si="18"/>
        <v/>
      </c>
      <c r="AK238" s="54" t="str">
        <f t="shared" si="19"/>
        <v/>
      </c>
      <c r="AL238" s="54" t="str">
        <f t="shared" si="20"/>
        <v/>
      </c>
      <c r="AM238" s="54" t="str">
        <f t="shared" si="21"/>
        <v/>
      </c>
      <c r="AN238" s="54" t="str">
        <f t="shared" si="22"/>
        <v/>
      </c>
      <c r="AO238" s="56" t="e">
        <f t="shared" si="23"/>
        <v>#VALUE!</v>
      </c>
    </row>
    <row r="239" spans="1:41" x14ac:dyDescent="0.25">
      <c r="A239" s="54" t="str">
        <f>IF('Data Karyawan'!A234&lt;&gt;"", 'Data Karyawan'!A234, "")</f>
        <v/>
      </c>
      <c r="B239" s="54" t="str">
        <f>IF('Data Karyawan'!B234&lt;&gt;"", 'Data Karyawan'!B234, "")</f>
        <v/>
      </c>
      <c r="C239" s="55" t="str">
        <f>IF('Data Karyawan'!C234&lt;&gt;"", 'Data Karyawan'!C234, "")</f>
        <v/>
      </c>
      <c r="D239" s="54" t="str">
        <f>IF('Data Karyawan'!D234&lt;&gt;"", 'Data Karyawan'!D234, "")</f>
        <v/>
      </c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4" t="str">
        <f t="shared" si="18"/>
        <v/>
      </c>
      <c r="AK239" s="54" t="str">
        <f t="shared" si="19"/>
        <v/>
      </c>
      <c r="AL239" s="54" t="str">
        <f t="shared" si="20"/>
        <v/>
      </c>
      <c r="AM239" s="54" t="str">
        <f t="shared" si="21"/>
        <v/>
      </c>
      <c r="AN239" s="54" t="str">
        <f t="shared" si="22"/>
        <v/>
      </c>
      <c r="AO239" s="56" t="e">
        <f t="shared" si="23"/>
        <v>#VALUE!</v>
      </c>
    </row>
    <row r="240" spans="1:41" x14ac:dyDescent="0.25">
      <c r="A240" s="54" t="str">
        <f>IF('Data Karyawan'!A235&lt;&gt;"", 'Data Karyawan'!A235, "")</f>
        <v/>
      </c>
      <c r="B240" s="54" t="str">
        <f>IF('Data Karyawan'!B235&lt;&gt;"", 'Data Karyawan'!B235, "")</f>
        <v/>
      </c>
      <c r="C240" s="55" t="str">
        <f>IF('Data Karyawan'!C235&lt;&gt;"", 'Data Karyawan'!C235, "")</f>
        <v/>
      </c>
      <c r="D240" s="54" t="str">
        <f>IF('Data Karyawan'!D235&lt;&gt;"", 'Data Karyawan'!D235, "")</f>
        <v/>
      </c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4" t="str">
        <f t="shared" si="18"/>
        <v/>
      </c>
      <c r="AK240" s="54" t="str">
        <f t="shared" si="19"/>
        <v/>
      </c>
      <c r="AL240" s="54" t="str">
        <f t="shared" si="20"/>
        <v/>
      </c>
      <c r="AM240" s="54" t="str">
        <f t="shared" si="21"/>
        <v/>
      </c>
      <c r="AN240" s="54" t="str">
        <f t="shared" si="22"/>
        <v/>
      </c>
      <c r="AO240" s="56" t="e">
        <f t="shared" si="23"/>
        <v>#VALUE!</v>
      </c>
    </row>
    <row r="241" spans="1:41" x14ac:dyDescent="0.25">
      <c r="A241" s="54" t="str">
        <f>IF('Data Karyawan'!A236&lt;&gt;"", 'Data Karyawan'!A236, "")</f>
        <v/>
      </c>
      <c r="B241" s="54" t="str">
        <f>IF('Data Karyawan'!B236&lt;&gt;"", 'Data Karyawan'!B236, "")</f>
        <v/>
      </c>
      <c r="C241" s="55" t="str">
        <f>IF('Data Karyawan'!C236&lt;&gt;"", 'Data Karyawan'!C236, "")</f>
        <v/>
      </c>
      <c r="D241" s="54" t="str">
        <f>IF('Data Karyawan'!D236&lt;&gt;"", 'Data Karyawan'!D236, "")</f>
        <v/>
      </c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4" t="str">
        <f t="shared" si="18"/>
        <v/>
      </c>
      <c r="AK241" s="54" t="str">
        <f t="shared" si="19"/>
        <v/>
      </c>
      <c r="AL241" s="54" t="str">
        <f t="shared" si="20"/>
        <v/>
      </c>
      <c r="AM241" s="54" t="str">
        <f t="shared" si="21"/>
        <v/>
      </c>
      <c r="AN241" s="54" t="str">
        <f t="shared" si="22"/>
        <v/>
      </c>
      <c r="AO241" s="56" t="e">
        <f t="shared" si="23"/>
        <v>#VALUE!</v>
      </c>
    </row>
    <row r="242" spans="1:41" x14ac:dyDescent="0.25">
      <c r="A242" s="54" t="str">
        <f>IF('Data Karyawan'!A237&lt;&gt;"", 'Data Karyawan'!A237, "")</f>
        <v/>
      </c>
      <c r="B242" s="54" t="str">
        <f>IF('Data Karyawan'!B237&lt;&gt;"", 'Data Karyawan'!B237, "")</f>
        <v/>
      </c>
      <c r="C242" s="55" t="str">
        <f>IF('Data Karyawan'!C237&lt;&gt;"", 'Data Karyawan'!C237, "")</f>
        <v/>
      </c>
      <c r="D242" s="54" t="str">
        <f>IF('Data Karyawan'!D237&lt;&gt;"", 'Data Karyawan'!D237, "")</f>
        <v/>
      </c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4" t="str">
        <f t="shared" si="18"/>
        <v/>
      </c>
      <c r="AK242" s="54" t="str">
        <f t="shared" si="19"/>
        <v/>
      </c>
      <c r="AL242" s="54" t="str">
        <f t="shared" si="20"/>
        <v/>
      </c>
      <c r="AM242" s="54" t="str">
        <f t="shared" si="21"/>
        <v/>
      </c>
      <c r="AN242" s="54" t="str">
        <f t="shared" si="22"/>
        <v/>
      </c>
      <c r="AO242" s="56" t="e">
        <f t="shared" si="23"/>
        <v>#VALUE!</v>
      </c>
    </row>
    <row r="243" spans="1:41" x14ac:dyDescent="0.25">
      <c r="A243" s="54" t="str">
        <f>IF('Data Karyawan'!A238&lt;&gt;"", 'Data Karyawan'!A238, "")</f>
        <v/>
      </c>
      <c r="B243" s="54" t="str">
        <f>IF('Data Karyawan'!B238&lt;&gt;"", 'Data Karyawan'!B238, "")</f>
        <v/>
      </c>
      <c r="C243" s="55" t="str">
        <f>IF('Data Karyawan'!C238&lt;&gt;"", 'Data Karyawan'!C238, "")</f>
        <v/>
      </c>
      <c r="D243" s="54" t="str">
        <f>IF('Data Karyawan'!D238&lt;&gt;"", 'Data Karyawan'!D238, "")</f>
        <v/>
      </c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4" t="str">
        <f t="shared" si="18"/>
        <v/>
      </c>
      <c r="AK243" s="54" t="str">
        <f t="shared" si="19"/>
        <v/>
      </c>
      <c r="AL243" s="54" t="str">
        <f t="shared" si="20"/>
        <v/>
      </c>
      <c r="AM243" s="54" t="str">
        <f t="shared" si="21"/>
        <v/>
      </c>
      <c r="AN243" s="54" t="str">
        <f t="shared" si="22"/>
        <v/>
      </c>
      <c r="AO243" s="56" t="e">
        <f t="shared" si="23"/>
        <v>#VALUE!</v>
      </c>
    </row>
    <row r="244" spans="1:41" x14ac:dyDescent="0.25">
      <c r="A244" s="54" t="str">
        <f>IF('Data Karyawan'!A239&lt;&gt;"", 'Data Karyawan'!A239, "")</f>
        <v/>
      </c>
      <c r="B244" s="54" t="str">
        <f>IF('Data Karyawan'!B239&lt;&gt;"", 'Data Karyawan'!B239, "")</f>
        <v/>
      </c>
      <c r="C244" s="55" t="str">
        <f>IF('Data Karyawan'!C239&lt;&gt;"", 'Data Karyawan'!C239, "")</f>
        <v/>
      </c>
      <c r="D244" s="54" t="str">
        <f>IF('Data Karyawan'!D239&lt;&gt;"", 'Data Karyawan'!D239, "")</f>
        <v/>
      </c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4" t="str">
        <f t="shared" si="18"/>
        <v/>
      </c>
      <c r="AK244" s="54" t="str">
        <f t="shared" si="19"/>
        <v/>
      </c>
      <c r="AL244" s="54" t="str">
        <f t="shared" si="20"/>
        <v/>
      </c>
      <c r="AM244" s="54" t="str">
        <f t="shared" si="21"/>
        <v/>
      </c>
      <c r="AN244" s="54" t="str">
        <f t="shared" si="22"/>
        <v/>
      </c>
      <c r="AO244" s="56" t="e">
        <f t="shared" si="23"/>
        <v>#VALUE!</v>
      </c>
    </row>
    <row r="245" spans="1:41" x14ac:dyDescent="0.25">
      <c r="A245" s="54" t="str">
        <f>IF('Data Karyawan'!A240&lt;&gt;"", 'Data Karyawan'!A240, "")</f>
        <v/>
      </c>
      <c r="B245" s="54" t="str">
        <f>IF('Data Karyawan'!B240&lt;&gt;"", 'Data Karyawan'!B240, "")</f>
        <v/>
      </c>
      <c r="C245" s="55" t="str">
        <f>IF('Data Karyawan'!C240&lt;&gt;"", 'Data Karyawan'!C240, "")</f>
        <v/>
      </c>
      <c r="D245" s="54" t="str">
        <f>IF('Data Karyawan'!D240&lt;&gt;"", 'Data Karyawan'!D240, "")</f>
        <v/>
      </c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4" t="str">
        <f t="shared" si="18"/>
        <v/>
      </c>
      <c r="AK245" s="54" t="str">
        <f t="shared" si="19"/>
        <v/>
      </c>
      <c r="AL245" s="54" t="str">
        <f t="shared" si="20"/>
        <v/>
      </c>
      <c r="AM245" s="54" t="str">
        <f t="shared" si="21"/>
        <v/>
      </c>
      <c r="AN245" s="54" t="str">
        <f t="shared" si="22"/>
        <v/>
      </c>
      <c r="AO245" s="56" t="e">
        <f t="shared" si="23"/>
        <v>#VALUE!</v>
      </c>
    </row>
    <row r="246" spans="1:41" x14ac:dyDescent="0.25">
      <c r="A246" s="54" t="str">
        <f>IF('Data Karyawan'!A241&lt;&gt;"", 'Data Karyawan'!A241, "")</f>
        <v/>
      </c>
      <c r="B246" s="54" t="str">
        <f>IF('Data Karyawan'!B241&lt;&gt;"", 'Data Karyawan'!B241, "")</f>
        <v/>
      </c>
      <c r="C246" s="55" t="str">
        <f>IF('Data Karyawan'!C241&lt;&gt;"", 'Data Karyawan'!C241, "")</f>
        <v/>
      </c>
      <c r="D246" s="54" t="str">
        <f>IF('Data Karyawan'!D241&lt;&gt;"", 'Data Karyawan'!D241, "")</f>
        <v/>
      </c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4" t="str">
        <f t="shared" si="18"/>
        <v/>
      </c>
      <c r="AK246" s="54" t="str">
        <f t="shared" si="19"/>
        <v/>
      </c>
      <c r="AL246" s="54" t="str">
        <f t="shared" si="20"/>
        <v/>
      </c>
      <c r="AM246" s="54" t="str">
        <f t="shared" si="21"/>
        <v/>
      </c>
      <c r="AN246" s="54" t="str">
        <f t="shared" si="22"/>
        <v/>
      </c>
      <c r="AO246" s="56" t="e">
        <f t="shared" si="23"/>
        <v>#VALUE!</v>
      </c>
    </row>
    <row r="247" spans="1:41" x14ac:dyDescent="0.25">
      <c r="A247" s="54" t="str">
        <f>IF('Data Karyawan'!A242&lt;&gt;"", 'Data Karyawan'!A242, "")</f>
        <v/>
      </c>
      <c r="B247" s="54" t="str">
        <f>IF('Data Karyawan'!B242&lt;&gt;"", 'Data Karyawan'!B242, "")</f>
        <v/>
      </c>
      <c r="C247" s="55" t="str">
        <f>IF('Data Karyawan'!C242&lt;&gt;"", 'Data Karyawan'!C242, "")</f>
        <v/>
      </c>
      <c r="D247" s="54" t="str">
        <f>IF('Data Karyawan'!D242&lt;&gt;"", 'Data Karyawan'!D242, "")</f>
        <v/>
      </c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4" t="str">
        <f t="shared" si="18"/>
        <v/>
      </c>
      <c r="AK247" s="54" t="str">
        <f t="shared" si="19"/>
        <v/>
      </c>
      <c r="AL247" s="54" t="str">
        <f t="shared" si="20"/>
        <v/>
      </c>
      <c r="AM247" s="54" t="str">
        <f t="shared" si="21"/>
        <v/>
      </c>
      <c r="AN247" s="54" t="str">
        <f t="shared" si="22"/>
        <v/>
      </c>
      <c r="AO247" s="56" t="e">
        <f t="shared" si="23"/>
        <v>#VALUE!</v>
      </c>
    </row>
    <row r="248" spans="1:41" x14ac:dyDescent="0.25">
      <c r="A248" s="54" t="str">
        <f>IF('Data Karyawan'!A243&lt;&gt;"", 'Data Karyawan'!A243, "")</f>
        <v/>
      </c>
      <c r="B248" s="54" t="str">
        <f>IF('Data Karyawan'!B243&lt;&gt;"", 'Data Karyawan'!B243, "")</f>
        <v/>
      </c>
      <c r="C248" s="55" t="str">
        <f>IF('Data Karyawan'!C243&lt;&gt;"", 'Data Karyawan'!C243, "")</f>
        <v/>
      </c>
      <c r="D248" s="54" t="str">
        <f>IF('Data Karyawan'!D243&lt;&gt;"", 'Data Karyawan'!D243, "")</f>
        <v/>
      </c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4" t="str">
        <f t="shared" si="18"/>
        <v/>
      </c>
      <c r="AK248" s="54" t="str">
        <f t="shared" si="19"/>
        <v/>
      </c>
      <c r="AL248" s="54" t="str">
        <f t="shared" si="20"/>
        <v/>
      </c>
      <c r="AM248" s="54" t="str">
        <f t="shared" si="21"/>
        <v/>
      </c>
      <c r="AN248" s="54" t="str">
        <f t="shared" si="22"/>
        <v/>
      </c>
      <c r="AO248" s="56" t="e">
        <f t="shared" si="23"/>
        <v>#VALUE!</v>
      </c>
    </row>
    <row r="249" spans="1:41" x14ac:dyDescent="0.25">
      <c r="A249" s="54" t="str">
        <f>IF('Data Karyawan'!A244&lt;&gt;"", 'Data Karyawan'!A244, "")</f>
        <v/>
      </c>
      <c r="B249" s="54" t="str">
        <f>IF('Data Karyawan'!B244&lt;&gt;"", 'Data Karyawan'!B244, "")</f>
        <v/>
      </c>
      <c r="C249" s="55" t="str">
        <f>IF('Data Karyawan'!C244&lt;&gt;"", 'Data Karyawan'!C244, "")</f>
        <v/>
      </c>
      <c r="D249" s="54" t="str">
        <f>IF('Data Karyawan'!D244&lt;&gt;"", 'Data Karyawan'!D244, "")</f>
        <v/>
      </c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4" t="str">
        <f t="shared" si="18"/>
        <v/>
      </c>
      <c r="AK249" s="54" t="str">
        <f t="shared" si="19"/>
        <v/>
      </c>
      <c r="AL249" s="54" t="str">
        <f t="shared" si="20"/>
        <v/>
      </c>
      <c r="AM249" s="54" t="str">
        <f t="shared" si="21"/>
        <v/>
      </c>
      <c r="AN249" s="54" t="str">
        <f t="shared" si="22"/>
        <v/>
      </c>
      <c r="AO249" s="56" t="e">
        <f t="shared" si="23"/>
        <v>#VALUE!</v>
      </c>
    </row>
    <row r="250" spans="1:41" x14ac:dyDescent="0.25">
      <c r="A250" s="54" t="str">
        <f>IF('Data Karyawan'!A245&lt;&gt;"", 'Data Karyawan'!A245, "")</f>
        <v/>
      </c>
      <c r="B250" s="54" t="str">
        <f>IF('Data Karyawan'!B245&lt;&gt;"", 'Data Karyawan'!B245, "")</f>
        <v/>
      </c>
      <c r="C250" s="55" t="str">
        <f>IF('Data Karyawan'!C245&lt;&gt;"", 'Data Karyawan'!C245, "")</f>
        <v/>
      </c>
      <c r="D250" s="54" t="str">
        <f>IF('Data Karyawan'!D245&lt;&gt;"", 'Data Karyawan'!D245, "")</f>
        <v/>
      </c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4" t="str">
        <f t="shared" si="18"/>
        <v/>
      </c>
      <c r="AK250" s="54" t="str">
        <f t="shared" si="19"/>
        <v/>
      </c>
      <c r="AL250" s="54" t="str">
        <f t="shared" si="20"/>
        <v/>
      </c>
      <c r="AM250" s="54" t="str">
        <f t="shared" si="21"/>
        <v/>
      </c>
      <c r="AN250" s="54" t="str">
        <f t="shared" si="22"/>
        <v/>
      </c>
      <c r="AO250" s="56" t="e">
        <f t="shared" si="23"/>
        <v>#VALUE!</v>
      </c>
    </row>
    <row r="251" spans="1:41" x14ac:dyDescent="0.25">
      <c r="A251" s="54" t="str">
        <f>IF('Data Karyawan'!A246&lt;&gt;"", 'Data Karyawan'!A246, "")</f>
        <v/>
      </c>
      <c r="B251" s="54" t="str">
        <f>IF('Data Karyawan'!B246&lt;&gt;"", 'Data Karyawan'!B246, "")</f>
        <v/>
      </c>
      <c r="C251" s="55" t="str">
        <f>IF('Data Karyawan'!C246&lt;&gt;"", 'Data Karyawan'!C246, "")</f>
        <v/>
      </c>
      <c r="D251" s="54" t="str">
        <f>IF('Data Karyawan'!D246&lt;&gt;"", 'Data Karyawan'!D246, "")</f>
        <v/>
      </c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4" t="str">
        <f t="shared" si="18"/>
        <v/>
      </c>
      <c r="AK251" s="54" t="str">
        <f t="shared" si="19"/>
        <v/>
      </c>
      <c r="AL251" s="54" t="str">
        <f t="shared" si="20"/>
        <v/>
      </c>
      <c r="AM251" s="54" t="str">
        <f t="shared" si="21"/>
        <v/>
      </c>
      <c r="AN251" s="54" t="str">
        <f t="shared" si="22"/>
        <v/>
      </c>
      <c r="AO251" s="56" t="e">
        <f t="shared" si="23"/>
        <v>#VALUE!</v>
      </c>
    </row>
    <row r="252" spans="1:41" x14ac:dyDescent="0.25">
      <c r="A252" s="54" t="str">
        <f>IF('Data Karyawan'!A247&lt;&gt;"", 'Data Karyawan'!A247, "")</f>
        <v/>
      </c>
      <c r="B252" s="54" t="str">
        <f>IF('Data Karyawan'!B247&lt;&gt;"", 'Data Karyawan'!B247, "")</f>
        <v/>
      </c>
      <c r="C252" s="55" t="str">
        <f>IF('Data Karyawan'!C247&lt;&gt;"", 'Data Karyawan'!C247, "")</f>
        <v/>
      </c>
      <c r="D252" s="54" t="str">
        <f>IF('Data Karyawan'!D247&lt;&gt;"", 'Data Karyawan'!D247, "")</f>
        <v/>
      </c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4" t="str">
        <f t="shared" si="18"/>
        <v/>
      </c>
      <c r="AK252" s="54" t="str">
        <f t="shared" si="19"/>
        <v/>
      </c>
      <c r="AL252" s="54" t="str">
        <f t="shared" si="20"/>
        <v/>
      </c>
      <c r="AM252" s="54" t="str">
        <f t="shared" si="21"/>
        <v/>
      </c>
      <c r="AN252" s="54" t="str">
        <f t="shared" si="22"/>
        <v/>
      </c>
      <c r="AO252" s="56" t="e">
        <f t="shared" si="23"/>
        <v>#VALUE!</v>
      </c>
    </row>
    <row r="253" spans="1:41" x14ac:dyDescent="0.25">
      <c r="A253" s="54" t="str">
        <f>IF('Data Karyawan'!A248&lt;&gt;"", 'Data Karyawan'!A248, "")</f>
        <v/>
      </c>
      <c r="B253" s="54" t="str">
        <f>IF('Data Karyawan'!B248&lt;&gt;"", 'Data Karyawan'!B248, "")</f>
        <v/>
      </c>
      <c r="C253" s="55" t="str">
        <f>IF('Data Karyawan'!C248&lt;&gt;"", 'Data Karyawan'!C248, "")</f>
        <v/>
      </c>
      <c r="D253" s="54" t="str">
        <f>IF('Data Karyawan'!D248&lt;&gt;"", 'Data Karyawan'!D248, "")</f>
        <v/>
      </c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4" t="str">
        <f t="shared" si="18"/>
        <v/>
      </c>
      <c r="AK253" s="54" t="str">
        <f t="shared" si="19"/>
        <v/>
      </c>
      <c r="AL253" s="54" t="str">
        <f t="shared" si="20"/>
        <v/>
      </c>
      <c r="AM253" s="54" t="str">
        <f t="shared" si="21"/>
        <v/>
      </c>
      <c r="AN253" s="54" t="str">
        <f t="shared" si="22"/>
        <v/>
      </c>
      <c r="AO253" s="56" t="e">
        <f t="shared" si="23"/>
        <v>#VALUE!</v>
      </c>
    </row>
    <row r="254" spans="1:41" x14ac:dyDescent="0.25">
      <c r="A254" s="54" t="str">
        <f>IF('Data Karyawan'!A249&lt;&gt;"", 'Data Karyawan'!A249, "")</f>
        <v/>
      </c>
      <c r="B254" s="54" t="str">
        <f>IF('Data Karyawan'!B249&lt;&gt;"", 'Data Karyawan'!B249, "")</f>
        <v/>
      </c>
      <c r="C254" s="55" t="str">
        <f>IF('Data Karyawan'!C249&lt;&gt;"", 'Data Karyawan'!C249, "")</f>
        <v/>
      </c>
      <c r="D254" s="54" t="str">
        <f>IF('Data Karyawan'!D249&lt;&gt;"", 'Data Karyawan'!D249, "")</f>
        <v/>
      </c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4" t="str">
        <f t="shared" si="18"/>
        <v/>
      </c>
      <c r="AK254" s="54" t="str">
        <f t="shared" si="19"/>
        <v/>
      </c>
      <c r="AL254" s="54" t="str">
        <f t="shared" si="20"/>
        <v/>
      </c>
      <c r="AM254" s="54" t="str">
        <f t="shared" si="21"/>
        <v/>
      </c>
      <c r="AN254" s="54" t="str">
        <f t="shared" si="22"/>
        <v/>
      </c>
      <c r="AO254" s="56" t="e">
        <f t="shared" si="23"/>
        <v>#VALUE!</v>
      </c>
    </row>
    <row r="255" spans="1:41" x14ac:dyDescent="0.25">
      <c r="A255" s="54" t="str">
        <f>IF('Data Karyawan'!A250&lt;&gt;"", 'Data Karyawan'!A250, "")</f>
        <v/>
      </c>
      <c r="B255" s="54" t="str">
        <f>IF('Data Karyawan'!B250&lt;&gt;"", 'Data Karyawan'!B250, "")</f>
        <v/>
      </c>
      <c r="C255" s="55" t="str">
        <f>IF('Data Karyawan'!C250&lt;&gt;"", 'Data Karyawan'!C250, "")</f>
        <v/>
      </c>
      <c r="D255" s="54" t="str">
        <f>IF('Data Karyawan'!D250&lt;&gt;"", 'Data Karyawan'!D250, "")</f>
        <v/>
      </c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4" t="str">
        <f t="shared" si="18"/>
        <v/>
      </c>
      <c r="AK255" s="54" t="str">
        <f t="shared" si="19"/>
        <v/>
      </c>
      <c r="AL255" s="54" t="str">
        <f t="shared" si="20"/>
        <v/>
      </c>
      <c r="AM255" s="54" t="str">
        <f t="shared" si="21"/>
        <v/>
      </c>
      <c r="AN255" s="54" t="str">
        <f t="shared" si="22"/>
        <v/>
      </c>
      <c r="AO255" s="56" t="e">
        <f t="shared" si="23"/>
        <v>#VALUE!</v>
      </c>
    </row>
    <row r="256" spans="1:41" x14ac:dyDescent="0.25">
      <c r="A256" s="54" t="str">
        <f>IF('Data Karyawan'!A251&lt;&gt;"", 'Data Karyawan'!A251, "")</f>
        <v/>
      </c>
      <c r="B256" s="54" t="str">
        <f>IF('Data Karyawan'!B251&lt;&gt;"", 'Data Karyawan'!B251, "")</f>
        <v/>
      </c>
      <c r="C256" s="55" t="str">
        <f>IF('Data Karyawan'!C251&lt;&gt;"", 'Data Karyawan'!C251, "")</f>
        <v/>
      </c>
      <c r="D256" s="54" t="str">
        <f>IF('Data Karyawan'!D251&lt;&gt;"", 'Data Karyawan'!D251, "")</f>
        <v/>
      </c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4" t="str">
        <f t="shared" si="18"/>
        <v/>
      </c>
      <c r="AK256" s="54" t="str">
        <f t="shared" si="19"/>
        <v/>
      </c>
      <c r="AL256" s="54" t="str">
        <f t="shared" si="20"/>
        <v/>
      </c>
      <c r="AM256" s="54" t="str">
        <f t="shared" si="21"/>
        <v/>
      </c>
      <c r="AN256" s="54" t="str">
        <f t="shared" si="22"/>
        <v/>
      </c>
      <c r="AO256" s="56" t="e">
        <f t="shared" si="23"/>
        <v>#VALUE!</v>
      </c>
    </row>
    <row r="257" spans="1:41" x14ac:dyDescent="0.25">
      <c r="A257" s="54" t="str">
        <f>IF('Data Karyawan'!A252&lt;&gt;"", 'Data Karyawan'!A252, "")</f>
        <v/>
      </c>
      <c r="B257" s="54" t="str">
        <f>IF('Data Karyawan'!B252&lt;&gt;"", 'Data Karyawan'!B252, "")</f>
        <v/>
      </c>
      <c r="C257" s="55" t="str">
        <f>IF('Data Karyawan'!C252&lt;&gt;"", 'Data Karyawan'!C252, "")</f>
        <v/>
      </c>
      <c r="D257" s="54" t="str">
        <f>IF('Data Karyawan'!D252&lt;&gt;"", 'Data Karyawan'!D252, "")</f>
        <v/>
      </c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4" t="str">
        <f t="shared" si="18"/>
        <v/>
      </c>
      <c r="AK257" s="54" t="str">
        <f t="shared" si="19"/>
        <v/>
      </c>
      <c r="AL257" s="54" t="str">
        <f t="shared" si="20"/>
        <v/>
      </c>
      <c r="AM257" s="54" t="str">
        <f t="shared" si="21"/>
        <v/>
      </c>
      <c r="AN257" s="54" t="str">
        <f t="shared" si="22"/>
        <v/>
      </c>
      <c r="AO257" s="56" t="e">
        <f t="shared" si="23"/>
        <v>#VALUE!</v>
      </c>
    </row>
    <row r="258" spans="1:41" x14ac:dyDescent="0.25">
      <c r="A258" s="54" t="str">
        <f>IF('Data Karyawan'!A253&lt;&gt;"", 'Data Karyawan'!A253, "")</f>
        <v/>
      </c>
      <c r="B258" s="54" t="str">
        <f>IF('Data Karyawan'!B253&lt;&gt;"", 'Data Karyawan'!B253, "")</f>
        <v/>
      </c>
      <c r="C258" s="55" t="str">
        <f>IF('Data Karyawan'!C253&lt;&gt;"", 'Data Karyawan'!C253, "")</f>
        <v/>
      </c>
      <c r="D258" s="54" t="str">
        <f>IF('Data Karyawan'!D253&lt;&gt;"", 'Data Karyawan'!D253, "")</f>
        <v/>
      </c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4" t="str">
        <f t="shared" si="18"/>
        <v/>
      </c>
      <c r="AK258" s="54" t="str">
        <f t="shared" si="19"/>
        <v/>
      </c>
      <c r="AL258" s="54" t="str">
        <f t="shared" si="20"/>
        <v/>
      </c>
      <c r="AM258" s="54" t="str">
        <f t="shared" si="21"/>
        <v/>
      </c>
      <c r="AN258" s="54" t="str">
        <f t="shared" si="22"/>
        <v/>
      </c>
      <c r="AO258" s="56" t="e">
        <f t="shared" si="23"/>
        <v>#VALUE!</v>
      </c>
    </row>
    <row r="259" spans="1:41" x14ac:dyDescent="0.25">
      <c r="A259" s="54" t="str">
        <f>IF('Data Karyawan'!A254&lt;&gt;"", 'Data Karyawan'!A254, "")</f>
        <v/>
      </c>
      <c r="B259" s="54" t="str">
        <f>IF('Data Karyawan'!B254&lt;&gt;"", 'Data Karyawan'!B254, "")</f>
        <v/>
      </c>
      <c r="C259" s="55" t="str">
        <f>IF('Data Karyawan'!C254&lt;&gt;"", 'Data Karyawan'!C254, "")</f>
        <v/>
      </c>
      <c r="D259" s="54" t="str">
        <f>IF('Data Karyawan'!D254&lt;&gt;"", 'Data Karyawan'!D254, "")</f>
        <v/>
      </c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4" t="str">
        <f t="shared" si="18"/>
        <v/>
      </c>
      <c r="AK259" s="54" t="str">
        <f t="shared" si="19"/>
        <v/>
      </c>
      <c r="AL259" s="54" t="str">
        <f t="shared" si="20"/>
        <v/>
      </c>
      <c r="AM259" s="54" t="str">
        <f t="shared" si="21"/>
        <v/>
      </c>
      <c r="AN259" s="54" t="str">
        <f t="shared" si="22"/>
        <v/>
      </c>
      <c r="AO259" s="56" t="e">
        <f t="shared" si="23"/>
        <v>#VALUE!</v>
      </c>
    </row>
    <row r="260" spans="1:41" x14ac:dyDescent="0.25">
      <c r="A260" s="54" t="str">
        <f>IF('Data Karyawan'!A255&lt;&gt;"", 'Data Karyawan'!A255, "")</f>
        <v/>
      </c>
      <c r="B260" s="54" t="str">
        <f>IF('Data Karyawan'!B255&lt;&gt;"", 'Data Karyawan'!B255, "")</f>
        <v/>
      </c>
      <c r="C260" s="55" t="str">
        <f>IF('Data Karyawan'!C255&lt;&gt;"", 'Data Karyawan'!C255, "")</f>
        <v/>
      </c>
      <c r="D260" s="54" t="str">
        <f>IF('Data Karyawan'!D255&lt;&gt;"", 'Data Karyawan'!D255, "")</f>
        <v/>
      </c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4" t="str">
        <f t="shared" si="18"/>
        <v/>
      </c>
      <c r="AK260" s="54" t="str">
        <f t="shared" si="19"/>
        <v/>
      </c>
      <c r="AL260" s="54" t="str">
        <f t="shared" si="20"/>
        <v/>
      </c>
      <c r="AM260" s="54" t="str">
        <f t="shared" si="21"/>
        <v/>
      </c>
      <c r="AN260" s="54" t="str">
        <f t="shared" si="22"/>
        <v/>
      </c>
      <c r="AO260" s="56" t="e">
        <f t="shared" si="23"/>
        <v>#VALUE!</v>
      </c>
    </row>
    <row r="261" spans="1:41" x14ac:dyDescent="0.25">
      <c r="A261" s="54" t="str">
        <f>IF('Data Karyawan'!A256&lt;&gt;"", 'Data Karyawan'!A256, "")</f>
        <v/>
      </c>
      <c r="B261" s="54" t="str">
        <f>IF('Data Karyawan'!B256&lt;&gt;"", 'Data Karyawan'!B256, "")</f>
        <v/>
      </c>
      <c r="C261" s="55" t="str">
        <f>IF('Data Karyawan'!C256&lt;&gt;"", 'Data Karyawan'!C256, "")</f>
        <v/>
      </c>
      <c r="D261" s="54" t="str">
        <f>IF('Data Karyawan'!D256&lt;&gt;"", 'Data Karyawan'!D256, "")</f>
        <v/>
      </c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4" t="str">
        <f t="shared" si="18"/>
        <v/>
      </c>
      <c r="AK261" s="54" t="str">
        <f t="shared" si="19"/>
        <v/>
      </c>
      <c r="AL261" s="54" t="str">
        <f t="shared" si="20"/>
        <v/>
      </c>
      <c r="AM261" s="54" t="str">
        <f t="shared" si="21"/>
        <v/>
      </c>
      <c r="AN261" s="54" t="str">
        <f t="shared" si="22"/>
        <v/>
      </c>
      <c r="AO261" s="56" t="e">
        <f t="shared" si="23"/>
        <v>#VALUE!</v>
      </c>
    </row>
    <row r="262" spans="1:41" x14ac:dyDescent="0.25">
      <c r="A262" s="54" t="str">
        <f>IF('Data Karyawan'!A257&lt;&gt;"", 'Data Karyawan'!A257, "")</f>
        <v/>
      </c>
      <c r="B262" s="54" t="str">
        <f>IF('Data Karyawan'!B257&lt;&gt;"", 'Data Karyawan'!B257, "")</f>
        <v/>
      </c>
      <c r="C262" s="55" t="str">
        <f>IF('Data Karyawan'!C257&lt;&gt;"", 'Data Karyawan'!C257, "")</f>
        <v/>
      </c>
      <c r="D262" s="54" t="str">
        <f>IF('Data Karyawan'!D257&lt;&gt;"", 'Data Karyawan'!D257, "")</f>
        <v/>
      </c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4" t="str">
        <f t="shared" si="18"/>
        <v/>
      </c>
      <c r="AK262" s="54" t="str">
        <f t="shared" si="19"/>
        <v/>
      </c>
      <c r="AL262" s="54" t="str">
        <f t="shared" si="20"/>
        <v/>
      </c>
      <c r="AM262" s="54" t="str">
        <f t="shared" si="21"/>
        <v/>
      </c>
      <c r="AN262" s="54" t="str">
        <f t="shared" si="22"/>
        <v/>
      </c>
      <c r="AO262" s="56" t="e">
        <f t="shared" si="23"/>
        <v>#VALUE!</v>
      </c>
    </row>
    <row r="263" spans="1:41" x14ac:dyDescent="0.25">
      <c r="A263" s="54" t="str">
        <f>IF('Data Karyawan'!A258&lt;&gt;"", 'Data Karyawan'!A258, "")</f>
        <v/>
      </c>
      <c r="B263" s="54" t="str">
        <f>IF('Data Karyawan'!B258&lt;&gt;"", 'Data Karyawan'!B258, "")</f>
        <v/>
      </c>
      <c r="C263" s="55" t="str">
        <f>IF('Data Karyawan'!C258&lt;&gt;"", 'Data Karyawan'!C258, "")</f>
        <v/>
      </c>
      <c r="D263" s="54" t="str">
        <f>IF('Data Karyawan'!D258&lt;&gt;"", 'Data Karyawan'!D258, "")</f>
        <v/>
      </c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4" t="str">
        <f t="shared" si="18"/>
        <v/>
      </c>
      <c r="AK263" s="54" t="str">
        <f t="shared" si="19"/>
        <v/>
      </c>
      <c r="AL263" s="54" t="str">
        <f t="shared" si="20"/>
        <v/>
      </c>
      <c r="AM263" s="54" t="str">
        <f t="shared" si="21"/>
        <v/>
      </c>
      <c r="AN263" s="54" t="str">
        <f t="shared" si="22"/>
        <v/>
      </c>
      <c r="AO263" s="56" t="e">
        <f t="shared" si="23"/>
        <v>#VALUE!</v>
      </c>
    </row>
    <row r="264" spans="1:41" x14ac:dyDescent="0.25">
      <c r="A264" s="54" t="str">
        <f>IF('Data Karyawan'!A259&lt;&gt;"", 'Data Karyawan'!A259, "")</f>
        <v/>
      </c>
      <c r="B264" s="54" t="str">
        <f>IF('Data Karyawan'!B259&lt;&gt;"", 'Data Karyawan'!B259, "")</f>
        <v/>
      </c>
      <c r="C264" s="55" t="str">
        <f>IF('Data Karyawan'!C259&lt;&gt;"", 'Data Karyawan'!C259, "")</f>
        <v/>
      </c>
      <c r="D264" s="54" t="str">
        <f>IF('Data Karyawan'!D259&lt;&gt;"", 'Data Karyawan'!D259, "")</f>
        <v/>
      </c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4" t="str">
        <f t="shared" si="18"/>
        <v/>
      </c>
      <c r="AK264" s="54" t="str">
        <f t="shared" si="19"/>
        <v/>
      </c>
      <c r="AL264" s="54" t="str">
        <f t="shared" si="20"/>
        <v/>
      </c>
      <c r="AM264" s="54" t="str">
        <f t="shared" si="21"/>
        <v/>
      </c>
      <c r="AN264" s="54" t="str">
        <f t="shared" si="22"/>
        <v/>
      </c>
      <c r="AO264" s="56" t="e">
        <f t="shared" si="23"/>
        <v>#VALUE!</v>
      </c>
    </row>
    <row r="265" spans="1:41" x14ac:dyDescent="0.25">
      <c r="A265" s="54" t="str">
        <f>IF('Data Karyawan'!A260&lt;&gt;"", 'Data Karyawan'!A260, "")</f>
        <v/>
      </c>
      <c r="B265" s="54" t="str">
        <f>IF('Data Karyawan'!B260&lt;&gt;"", 'Data Karyawan'!B260, "")</f>
        <v/>
      </c>
      <c r="C265" s="55" t="str">
        <f>IF('Data Karyawan'!C260&lt;&gt;"", 'Data Karyawan'!C260, "")</f>
        <v/>
      </c>
      <c r="D265" s="54" t="str">
        <f>IF('Data Karyawan'!D260&lt;&gt;"", 'Data Karyawan'!D260, "")</f>
        <v/>
      </c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4" t="str">
        <f t="shared" ref="AJ265:AJ300" si="24">IF($C265="","",COUNTIF(E265:AI265, "H"))</f>
        <v/>
      </c>
      <c r="AK265" s="54" t="str">
        <f t="shared" ref="AK265:AK300" si="25">IF($C265="","",COUNTIF(E265:AI265, "S"))</f>
        <v/>
      </c>
      <c r="AL265" s="54" t="str">
        <f t="shared" ref="AL265:AL300" si="26">IF($C265="","",COUNTIF(E265:AI265, "I"))</f>
        <v/>
      </c>
      <c r="AM265" s="54" t="str">
        <f t="shared" ref="AM265:AM300" si="27">IF($C265="","",COUNTIF(E265:AI265, "A"))</f>
        <v/>
      </c>
      <c r="AN265" s="54" t="str">
        <f t="shared" ref="AN265:AN300" si="28">IF($C265="","",COUNTIF(E265:AI265, "C"))</f>
        <v/>
      </c>
      <c r="AO265" s="56" t="e">
        <f t="shared" ref="AO265:AO300" si="29">IF(OR($B265="",(AJ265+AK265+AL265+AM265)=0),0,AJ265/(AJ265+AK265+AL265+AM265))</f>
        <v>#VALUE!</v>
      </c>
    </row>
    <row r="266" spans="1:41" x14ac:dyDescent="0.25">
      <c r="A266" s="54" t="str">
        <f>IF('Data Karyawan'!A261&lt;&gt;"", 'Data Karyawan'!A261, "")</f>
        <v/>
      </c>
      <c r="B266" s="54" t="str">
        <f>IF('Data Karyawan'!B261&lt;&gt;"", 'Data Karyawan'!B261, "")</f>
        <v/>
      </c>
      <c r="C266" s="55" t="str">
        <f>IF('Data Karyawan'!C261&lt;&gt;"", 'Data Karyawan'!C261, "")</f>
        <v/>
      </c>
      <c r="D266" s="54" t="str">
        <f>IF('Data Karyawan'!D261&lt;&gt;"", 'Data Karyawan'!D261, "")</f>
        <v/>
      </c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4" t="str">
        <f t="shared" si="24"/>
        <v/>
      </c>
      <c r="AK266" s="54" t="str">
        <f t="shared" si="25"/>
        <v/>
      </c>
      <c r="AL266" s="54" t="str">
        <f t="shared" si="26"/>
        <v/>
      </c>
      <c r="AM266" s="54" t="str">
        <f t="shared" si="27"/>
        <v/>
      </c>
      <c r="AN266" s="54" t="str">
        <f t="shared" si="28"/>
        <v/>
      </c>
      <c r="AO266" s="56" t="e">
        <f t="shared" si="29"/>
        <v>#VALUE!</v>
      </c>
    </row>
    <row r="267" spans="1:41" x14ac:dyDescent="0.25">
      <c r="A267" s="54" t="str">
        <f>IF('Data Karyawan'!A262&lt;&gt;"", 'Data Karyawan'!A262, "")</f>
        <v/>
      </c>
      <c r="B267" s="54" t="str">
        <f>IF('Data Karyawan'!B262&lt;&gt;"", 'Data Karyawan'!B262, "")</f>
        <v/>
      </c>
      <c r="C267" s="55" t="str">
        <f>IF('Data Karyawan'!C262&lt;&gt;"", 'Data Karyawan'!C262, "")</f>
        <v/>
      </c>
      <c r="D267" s="54" t="str">
        <f>IF('Data Karyawan'!D262&lt;&gt;"", 'Data Karyawan'!D262, "")</f>
        <v/>
      </c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4" t="str">
        <f t="shared" si="24"/>
        <v/>
      </c>
      <c r="AK267" s="54" t="str">
        <f t="shared" si="25"/>
        <v/>
      </c>
      <c r="AL267" s="54" t="str">
        <f t="shared" si="26"/>
        <v/>
      </c>
      <c r="AM267" s="54" t="str">
        <f t="shared" si="27"/>
        <v/>
      </c>
      <c r="AN267" s="54" t="str">
        <f t="shared" si="28"/>
        <v/>
      </c>
      <c r="AO267" s="56" t="e">
        <f t="shared" si="29"/>
        <v>#VALUE!</v>
      </c>
    </row>
    <row r="268" spans="1:41" x14ac:dyDescent="0.25">
      <c r="A268" s="54" t="str">
        <f>IF('Data Karyawan'!A263&lt;&gt;"", 'Data Karyawan'!A263, "")</f>
        <v/>
      </c>
      <c r="B268" s="54" t="str">
        <f>IF('Data Karyawan'!B263&lt;&gt;"", 'Data Karyawan'!B263, "")</f>
        <v/>
      </c>
      <c r="C268" s="55" t="str">
        <f>IF('Data Karyawan'!C263&lt;&gt;"", 'Data Karyawan'!C263, "")</f>
        <v/>
      </c>
      <c r="D268" s="54" t="str">
        <f>IF('Data Karyawan'!D263&lt;&gt;"", 'Data Karyawan'!D263, "")</f>
        <v/>
      </c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4" t="str">
        <f t="shared" si="24"/>
        <v/>
      </c>
      <c r="AK268" s="54" t="str">
        <f t="shared" si="25"/>
        <v/>
      </c>
      <c r="AL268" s="54" t="str">
        <f t="shared" si="26"/>
        <v/>
      </c>
      <c r="AM268" s="54" t="str">
        <f t="shared" si="27"/>
        <v/>
      </c>
      <c r="AN268" s="54" t="str">
        <f t="shared" si="28"/>
        <v/>
      </c>
      <c r="AO268" s="56" t="e">
        <f t="shared" si="29"/>
        <v>#VALUE!</v>
      </c>
    </row>
    <row r="269" spans="1:41" x14ac:dyDescent="0.25">
      <c r="A269" s="54" t="str">
        <f>IF('Data Karyawan'!A264&lt;&gt;"", 'Data Karyawan'!A264, "")</f>
        <v/>
      </c>
      <c r="B269" s="54" t="str">
        <f>IF('Data Karyawan'!B264&lt;&gt;"", 'Data Karyawan'!B264, "")</f>
        <v/>
      </c>
      <c r="C269" s="55" t="str">
        <f>IF('Data Karyawan'!C264&lt;&gt;"", 'Data Karyawan'!C264, "")</f>
        <v/>
      </c>
      <c r="D269" s="54" t="str">
        <f>IF('Data Karyawan'!D264&lt;&gt;"", 'Data Karyawan'!D264, "")</f>
        <v/>
      </c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4" t="str">
        <f t="shared" si="24"/>
        <v/>
      </c>
      <c r="AK269" s="54" t="str">
        <f t="shared" si="25"/>
        <v/>
      </c>
      <c r="AL269" s="54" t="str">
        <f t="shared" si="26"/>
        <v/>
      </c>
      <c r="AM269" s="54" t="str">
        <f t="shared" si="27"/>
        <v/>
      </c>
      <c r="AN269" s="54" t="str">
        <f t="shared" si="28"/>
        <v/>
      </c>
      <c r="AO269" s="56" t="e">
        <f t="shared" si="29"/>
        <v>#VALUE!</v>
      </c>
    </row>
    <row r="270" spans="1:41" x14ac:dyDescent="0.25">
      <c r="A270" s="54" t="str">
        <f>IF('Data Karyawan'!A265&lt;&gt;"", 'Data Karyawan'!A265, "")</f>
        <v/>
      </c>
      <c r="B270" s="54" t="str">
        <f>IF('Data Karyawan'!B265&lt;&gt;"", 'Data Karyawan'!B265, "")</f>
        <v/>
      </c>
      <c r="C270" s="55" t="str">
        <f>IF('Data Karyawan'!C265&lt;&gt;"", 'Data Karyawan'!C265, "")</f>
        <v/>
      </c>
      <c r="D270" s="54" t="str">
        <f>IF('Data Karyawan'!D265&lt;&gt;"", 'Data Karyawan'!D265, "")</f>
        <v/>
      </c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4" t="str">
        <f t="shared" si="24"/>
        <v/>
      </c>
      <c r="AK270" s="54" t="str">
        <f t="shared" si="25"/>
        <v/>
      </c>
      <c r="AL270" s="54" t="str">
        <f t="shared" si="26"/>
        <v/>
      </c>
      <c r="AM270" s="54" t="str">
        <f t="shared" si="27"/>
        <v/>
      </c>
      <c r="AN270" s="54" t="str">
        <f t="shared" si="28"/>
        <v/>
      </c>
      <c r="AO270" s="56" t="e">
        <f t="shared" si="29"/>
        <v>#VALUE!</v>
      </c>
    </row>
    <row r="271" spans="1:41" x14ac:dyDescent="0.25">
      <c r="A271" s="54" t="str">
        <f>IF('Data Karyawan'!A266&lt;&gt;"", 'Data Karyawan'!A266, "")</f>
        <v/>
      </c>
      <c r="B271" s="54" t="str">
        <f>IF('Data Karyawan'!B266&lt;&gt;"", 'Data Karyawan'!B266, "")</f>
        <v/>
      </c>
      <c r="C271" s="55" t="str">
        <f>IF('Data Karyawan'!C266&lt;&gt;"", 'Data Karyawan'!C266, "")</f>
        <v/>
      </c>
      <c r="D271" s="54" t="str">
        <f>IF('Data Karyawan'!D266&lt;&gt;"", 'Data Karyawan'!D266, "")</f>
        <v/>
      </c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4" t="str">
        <f t="shared" si="24"/>
        <v/>
      </c>
      <c r="AK271" s="54" t="str">
        <f t="shared" si="25"/>
        <v/>
      </c>
      <c r="AL271" s="54" t="str">
        <f t="shared" si="26"/>
        <v/>
      </c>
      <c r="AM271" s="54" t="str">
        <f t="shared" si="27"/>
        <v/>
      </c>
      <c r="AN271" s="54" t="str">
        <f t="shared" si="28"/>
        <v/>
      </c>
      <c r="AO271" s="56" t="e">
        <f t="shared" si="29"/>
        <v>#VALUE!</v>
      </c>
    </row>
    <row r="272" spans="1:41" x14ac:dyDescent="0.25">
      <c r="A272" s="54" t="str">
        <f>IF('Data Karyawan'!A267&lt;&gt;"", 'Data Karyawan'!A267, "")</f>
        <v/>
      </c>
      <c r="B272" s="54" t="str">
        <f>IF('Data Karyawan'!B267&lt;&gt;"", 'Data Karyawan'!B267, "")</f>
        <v/>
      </c>
      <c r="C272" s="55" t="str">
        <f>IF('Data Karyawan'!C267&lt;&gt;"", 'Data Karyawan'!C267, "")</f>
        <v/>
      </c>
      <c r="D272" s="54" t="str">
        <f>IF('Data Karyawan'!D267&lt;&gt;"", 'Data Karyawan'!D267, "")</f>
        <v/>
      </c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4" t="str">
        <f t="shared" si="24"/>
        <v/>
      </c>
      <c r="AK272" s="54" t="str">
        <f t="shared" si="25"/>
        <v/>
      </c>
      <c r="AL272" s="54" t="str">
        <f t="shared" si="26"/>
        <v/>
      </c>
      <c r="AM272" s="54" t="str">
        <f t="shared" si="27"/>
        <v/>
      </c>
      <c r="AN272" s="54" t="str">
        <f t="shared" si="28"/>
        <v/>
      </c>
      <c r="AO272" s="56" t="e">
        <f t="shared" si="29"/>
        <v>#VALUE!</v>
      </c>
    </row>
    <row r="273" spans="1:41" x14ac:dyDescent="0.25">
      <c r="A273" s="54" t="str">
        <f>IF('Data Karyawan'!A268&lt;&gt;"", 'Data Karyawan'!A268, "")</f>
        <v/>
      </c>
      <c r="B273" s="54" t="str">
        <f>IF('Data Karyawan'!B268&lt;&gt;"", 'Data Karyawan'!B268, "")</f>
        <v/>
      </c>
      <c r="C273" s="55" t="str">
        <f>IF('Data Karyawan'!C268&lt;&gt;"", 'Data Karyawan'!C268, "")</f>
        <v/>
      </c>
      <c r="D273" s="54" t="str">
        <f>IF('Data Karyawan'!D268&lt;&gt;"", 'Data Karyawan'!D268, "")</f>
        <v/>
      </c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4" t="str">
        <f t="shared" si="24"/>
        <v/>
      </c>
      <c r="AK273" s="54" t="str">
        <f t="shared" si="25"/>
        <v/>
      </c>
      <c r="AL273" s="54" t="str">
        <f t="shared" si="26"/>
        <v/>
      </c>
      <c r="AM273" s="54" t="str">
        <f t="shared" si="27"/>
        <v/>
      </c>
      <c r="AN273" s="54" t="str">
        <f t="shared" si="28"/>
        <v/>
      </c>
      <c r="AO273" s="56" t="e">
        <f t="shared" si="29"/>
        <v>#VALUE!</v>
      </c>
    </row>
    <row r="274" spans="1:41" x14ac:dyDescent="0.25">
      <c r="A274" s="54" t="str">
        <f>IF('Data Karyawan'!A269&lt;&gt;"", 'Data Karyawan'!A269, "")</f>
        <v/>
      </c>
      <c r="B274" s="54" t="str">
        <f>IF('Data Karyawan'!B269&lt;&gt;"", 'Data Karyawan'!B269, "")</f>
        <v/>
      </c>
      <c r="C274" s="55" t="str">
        <f>IF('Data Karyawan'!C269&lt;&gt;"", 'Data Karyawan'!C269, "")</f>
        <v/>
      </c>
      <c r="D274" s="54" t="str">
        <f>IF('Data Karyawan'!D269&lt;&gt;"", 'Data Karyawan'!D269, "")</f>
        <v/>
      </c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4" t="str">
        <f t="shared" si="24"/>
        <v/>
      </c>
      <c r="AK274" s="54" t="str">
        <f t="shared" si="25"/>
        <v/>
      </c>
      <c r="AL274" s="54" t="str">
        <f t="shared" si="26"/>
        <v/>
      </c>
      <c r="AM274" s="54" t="str">
        <f t="shared" si="27"/>
        <v/>
      </c>
      <c r="AN274" s="54" t="str">
        <f t="shared" si="28"/>
        <v/>
      </c>
      <c r="AO274" s="56" t="e">
        <f t="shared" si="29"/>
        <v>#VALUE!</v>
      </c>
    </row>
    <row r="275" spans="1:41" x14ac:dyDescent="0.25">
      <c r="A275" s="54" t="str">
        <f>IF('Data Karyawan'!A270&lt;&gt;"", 'Data Karyawan'!A270, "")</f>
        <v/>
      </c>
      <c r="B275" s="54" t="str">
        <f>IF('Data Karyawan'!B270&lt;&gt;"", 'Data Karyawan'!B270, "")</f>
        <v/>
      </c>
      <c r="C275" s="55" t="str">
        <f>IF('Data Karyawan'!C270&lt;&gt;"", 'Data Karyawan'!C270, "")</f>
        <v/>
      </c>
      <c r="D275" s="54" t="str">
        <f>IF('Data Karyawan'!D270&lt;&gt;"", 'Data Karyawan'!D270, "")</f>
        <v/>
      </c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4" t="str">
        <f t="shared" si="24"/>
        <v/>
      </c>
      <c r="AK275" s="54" t="str">
        <f t="shared" si="25"/>
        <v/>
      </c>
      <c r="AL275" s="54" t="str">
        <f t="shared" si="26"/>
        <v/>
      </c>
      <c r="AM275" s="54" t="str">
        <f t="shared" si="27"/>
        <v/>
      </c>
      <c r="AN275" s="54" t="str">
        <f t="shared" si="28"/>
        <v/>
      </c>
      <c r="AO275" s="56" t="e">
        <f t="shared" si="29"/>
        <v>#VALUE!</v>
      </c>
    </row>
    <row r="276" spans="1:41" x14ac:dyDescent="0.25">
      <c r="A276" s="54" t="str">
        <f>IF('Data Karyawan'!A271&lt;&gt;"", 'Data Karyawan'!A271, "")</f>
        <v/>
      </c>
      <c r="B276" s="54" t="str">
        <f>IF('Data Karyawan'!B271&lt;&gt;"", 'Data Karyawan'!B271, "")</f>
        <v/>
      </c>
      <c r="C276" s="55" t="str">
        <f>IF('Data Karyawan'!C271&lt;&gt;"", 'Data Karyawan'!C271, "")</f>
        <v/>
      </c>
      <c r="D276" s="54" t="str">
        <f>IF('Data Karyawan'!D271&lt;&gt;"", 'Data Karyawan'!D271, "")</f>
        <v/>
      </c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4" t="str">
        <f t="shared" si="24"/>
        <v/>
      </c>
      <c r="AK276" s="54" t="str">
        <f t="shared" si="25"/>
        <v/>
      </c>
      <c r="AL276" s="54" t="str">
        <f t="shared" si="26"/>
        <v/>
      </c>
      <c r="AM276" s="54" t="str">
        <f t="shared" si="27"/>
        <v/>
      </c>
      <c r="AN276" s="54" t="str">
        <f t="shared" si="28"/>
        <v/>
      </c>
      <c r="AO276" s="56" t="e">
        <f t="shared" si="29"/>
        <v>#VALUE!</v>
      </c>
    </row>
    <row r="277" spans="1:41" x14ac:dyDescent="0.25">
      <c r="A277" s="54" t="str">
        <f>IF('Data Karyawan'!A272&lt;&gt;"", 'Data Karyawan'!A272, "")</f>
        <v/>
      </c>
      <c r="B277" s="54" t="str">
        <f>IF('Data Karyawan'!B272&lt;&gt;"", 'Data Karyawan'!B272, "")</f>
        <v/>
      </c>
      <c r="C277" s="55" t="str">
        <f>IF('Data Karyawan'!C272&lt;&gt;"", 'Data Karyawan'!C272, "")</f>
        <v/>
      </c>
      <c r="D277" s="54" t="str">
        <f>IF('Data Karyawan'!D272&lt;&gt;"", 'Data Karyawan'!D272, "")</f>
        <v/>
      </c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4" t="str">
        <f t="shared" si="24"/>
        <v/>
      </c>
      <c r="AK277" s="54" t="str">
        <f t="shared" si="25"/>
        <v/>
      </c>
      <c r="AL277" s="54" t="str">
        <f t="shared" si="26"/>
        <v/>
      </c>
      <c r="AM277" s="54" t="str">
        <f t="shared" si="27"/>
        <v/>
      </c>
      <c r="AN277" s="54" t="str">
        <f t="shared" si="28"/>
        <v/>
      </c>
      <c r="AO277" s="56" t="e">
        <f t="shared" si="29"/>
        <v>#VALUE!</v>
      </c>
    </row>
    <row r="278" spans="1:41" x14ac:dyDescent="0.25">
      <c r="A278" s="54" t="str">
        <f>IF('Data Karyawan'!A273&lt;&gt;"", 'Data Karyawan'!A273, "")</f>
        <v/>
      </c>
      <c r="B278" s="54" t="str">
        <f>IF('Data Karyawan'!B273&lt;&gt;"", 'Data Karyawan'!B273, "")</f>
        <v/>
      </c>
      <c r="C278" s="55" t="str">
        <f>IF('Data Karyawan'!C273&lt;&gt;"", 'Data Karyawan'!C273, "")</f>
        <v/>
      </c>
      <c r="D278" s="54" t="str">
        <f>IF('Data Karyawan'!D273&lt;&gt;"", 'Data Karyawan'!D273, "")</f>
        <v/>
      </c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4" t="str">
        <f t="shared" si="24"/>
        <v/>
      </c>
      <c r="AK278" s="54" t="str">
        <f t="shared" si="25"/>
        <v/>
      </c>
      <c r="AL278" s="54" t="str">
        <f t="shared" si="26"/>
        <v/>
      </c>
      <c r="AM278" s="54" t="str">
        <f t="shared" si="27"/>
        <v/>
      </c>
      <c r="AN278" s="54" t="str">
        <f t="shared" si="28"/>
        <v/>
      </c>
      <c r="AO278" s="56" t="e">
        <f t="shared" si="29"/>
        <v>#VALUE!</v>
      </c>
    </row>
    <row r="279" spans="1:41" x14ac:dyDescent="0.25">
      <c r="A279" s="54" t="str">
        <f>IF('Data Karyawan'!A274&lt;&gt;"", 'Data Karyawan'!A274, "")</f>
        <v/>
      </c>
      <c r="B279" s="54" t="str">
        <f>IF('Data Karyawan'!B274&lt;&gt;"", 'Data Karyawan'!B274, "")</f>
        <v/>
      </c>
      <c r="C279" s="55" t="str">
        <f>IF('Data Karyawan'!C274&lt;&gt;"", 'Data Karyawan'!C274, "")</f>
        <v/>
      </c>
      <c r="D279" s="54" t="str">
        <f>IF('Data Karyawan'!D274&lt;&gt;"", 'Data Karyawan'!D274, "")</f>
        <v/>
      </c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4" t="str">
        <f t="shared" si="24"/>
        <v/>
      </c>
      <c r="AK279" s="54" t="str">
        <f t="shared" si="25"/>
        <v/>
      </c>
      <c r="AL279" s="54" t="str">
        <f t="shared" si="26"/>
        <v/>
      </c>
      <c r="AM279" s="54" t="str">
        <f t="shared" si="27"/>
        <v/>
      </c>
      <c r="AN279" s="54" t="str">
        <f t="shared" si="28"/>
        <v/>
      </c>
      <c r="AO279" s="56" t="e">
        <f t="shared" si="29"/>
        <v>#VALUE!</v>
      </c>
    </row>
    <row r="280" spans="1:41" x14ac:dyDescent="0.25">
      <c r="A280" s="54" t="str">
        <f>IF('Data Karyawan'!A275&lt;&gt;"", 'Data Karyawan'!A275, "")</f>
        <v/>
      </c>
      <c r="B280" s="54" t="str">
        <f>IF('Data Karyawan'!B275&lt;&gt;"", 'Data Karyawan'!B275, "")</f>
        <v/>
      </c>
      <c r="C280" s="55" t="str">
        <f>IF('Data Karyawan'!C275&lt;&gt;"", 'Data Karyawan'!C275, "")</f>
        <v/>
      </c>
      <c r="D280" s="54" t="str">
        <f>IF('Data Karyawan'!D275&lt;&gt;"", 'Data Karyawan'!D275, "")</f>
        <v/>
      </c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4" t="str">
        <f t="shared" si="24"/>
        <v/>
      </c>
      <c r="AK280" s="54" t="str">
        <f t="shared" si="25"/>
        <v/>
      </c>
      <c r="AL280" s="54" t="str">
        <f t="shared" si="26"/>
        <v/>
      </c>
      <c r="AM280" s="54" t="str">
        <f t="shared" si="27"/>
        <v/>
      </c>
      <c r="AN280" s="54" t="str">
        <f t="shared" si="28"/>
        <v/>
      </c>
      <c r="AO280" s="56" t="e">
        <f t="shared" si="29"/>
        <v>#VALUE!</v>
      </c>
    </row>
    <row r="281" spans="1:41" x14ac:dyDescent="0.25">
      <c r="A281" s="54" t="str">
        <f>IF('Data Karyawan'!A276&lt;&gt;"", 'Data Karyawan'!A276, "")</f>
        <v/>
      </c>
      <c r="B281" s="54" t="str">
        <f>IF('Data Karyawan'!B276&lt;&gt;"", 'Data Karyawan'!B276, "")</f>
        <v/>
      </c>
      <c r="C281" s="55" t="str">
        <f>IF('Data Karyawan'!C276&lt;&gt;"", 'Data Karyawan'!C276, "")</f>
        <v/>
      </c>
      <c r="D281" s="54" t="str">
        <f>IF('Data Karyawan'!D276&lt;&gt;"", 'Data Karyawan'!D276, "")</f>
        <v/>
      </c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4" t="str">
        <f t="shared" si="24"/>
        <v/>
      </c>
      <c r="AK281" s="54" t="str">
        <f t="shared" si="25"/>
        <v/>
      </c>
      <c r="AL281" s="54" t="str">
        <f t="shared" si="26"/>
        <v/>
      </c>
      <c r="AM281" s="54" t="str">
        <f t="shared" si="27"/>
        <v/>
      </c>
      <c r="AN281" s="54" t="str">
        <f t="shared" si="28"/>
        <v/>
      </c>
      <c r="AO281" s="56" t="e">
        <f t="shared" si="29"/>
        <v>#VALUE!</v>
      </c>
    </row>
    <row r="282" spans="1:41" x14ac:dyDescent="0.25">
      <c r="A282" s="54" t="str">
        <f>IF('Data Karyawan'!A277&lt;&gt;"", 'Data Karyawan'!A277, "")</f>
        <v/>
      </c>
      <c r="B282" s="54" t="str">
        <f>IF('Data Karyawan'!B277&lt;&gt;"", 'Data Karyawan'!B277, "")</f>
        <v/>
      </c>
      <c r="C282" s="55" t="str">
        <f>IF('Data Karyawan'!C277&lt;&gt;"", 'Data Karyawan'!C277, "")</f>
        <v/>
      </c>
      <c r="D282" s="54" t="str">
        <f>IF('Data Karyawan'!D277&lt;&gt;"", 'Data Karyawan'!D277, "")</f>
        <v/>
      </c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4" t="str">
        <f t="shared" si="24"/>
        <v/>
      </c>
      <c r="AK282" s="54" t="str">
        <f t="shared" si="25"/>
        <v/>
      </c>
      <c r="AL282" s="54" t="str">
        <f t="shared" si="26"/>
        <v/>
      </c>
      <c r="AM282" s="54" t="str">
        <f t="shared" si="27"/>
        <v/>
      </c>
      <c r="AN282" s="54" t="str">
        <f t="shared" si="28"/>
        <v/>
      </c>
      <c r="AO282" s="56" t="e">
        <f t="shared" si="29"/>
        <v>#VALUE!</v>
      </c>
    </row>
    <row r="283" spans="1:41" x14ac:dyDescent="0.25">
      <c r="A283" s="54" t="str">
        <f>IF('Data Karyawan'!A278&lt;&gt;"", 'Data Karyawan'!A278, "")</f>
        <v/>
      </c>
      <c r="B283" s="54" t="str">
        <f>IF('Data Karyawan'!B278&lt;&gt;"", 'Data Karyawan'!B278, "")</f>
        <v/>
      </c>
      <c r="C283" s="55" t="str">
        <f>IF('Data Karyawan'!C278&lt;&gt;"", 'Data Karyawan'!C278, "")</f>
        <v/>
      </c>
      <c r="D283" s="54" t="str">
        <f>IF('Data Karyawan'!D278&lt;&gt;"", 'Data Karyawan'!D278, "")</f>
        <v/>
      </c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4" t="str">
        <f t="shared" si="24"/>
        <v/>
      </c>
      <c r="AK283" s="54" t="str">
        <f t="shared" si="25"/>
        <v/>
      </c>
      <c r="AL283" s="54" t="str">
        <f t="shared" si="26"/>
        <v/>
      </c>
      <c r="AM283" s="54" t="str">
        <f t="shared" si="27"/>
        <v/>
      </c>
      <c r="AN283" s="54" t="str">
        <f t="shared" si="28"/>
        <v/>
      </c>
      <c r="AO283" s="56" t="e">
        <f t="shared" si="29"/>
        <v>#VALUE!</v>
      </c>
    </row>
    <row r="284" spans="1:41" x14ac:dyDescent="0.25">
      <c r="A284" s="54" t="str">
        <f>IF('Data Karyawan'!A279&lt;&gt;"", 'Data Karyawan'!A279, "")</f>
        <v/>
      </c>
      <c r="B284" s="54" t="str">
        <f>IF('Data Karyawan'!B279&lt;&gt;"", 'Data Karyawan'!B279, "")</f>
        <v/>
      </c>
      <c r="C284" s="55" t="str">
        <f>IF('Data Karyawan'!C279&lt;&gt;"", 'Data Karyawan'!C279, "")</f>
        <v/>
      </c>
      <c r="D284" s="54" t="str">
        <f>IF('Data Karyawan'!D279&lt;&gt;"", 'Data Karyawan'!D279, "")</f>
        <v/>
      </c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4" t="str">
        <f t="shared" si="24"/>
        <v/>
      </c>
      <c r="AK284" s="54" t="str">
        <f t="shared" si="25"/>
        <v/>
      </c>
      <c r="AL284" s="54" t="str">
        <f t="shared" si="26"/>
        <v/>
      </c>
      <c r="AM284" s="54" t="str">
        <f t="shared" si="27"/>
        <v/>
      </c>
      <c r="AN284" s="54" t="str">
        <f t="shared" si="28"/>
        <v/>
      </c>
      <c r="AO284" s="56" t="e">
        <f t="shared" si="29"/>
        <v>#VALUE!</v>
      </c>
    </row>
    <row r="285" spans="1:41" x14ac:dyDescent="0.25">
      <c r="A285" s="54" t="str">
        <f>IF('Data Karyawan'!A280&lt;&gt;"", 'Data Karyawan'!A280, "")</f>
        <v/>
      </c>
      <c r="B285" s="54" t="str">
        <f>IF('Data Karyawan'!B280&lt;&gt;"", 'Data Karyawan'!B280, "")</f>
        <v/>
      </c>
      <c r="C285" s="55" t="str">
        <f>IF('Data Karyawan'!C280&lt;&gt;"", 'Data Karyawan'!C280, "")</f>
        <v/>
      </c>
      <c r="D285" s="54" t="str">
        <f>IF('Data Karyawan'!D280&lt;&gt;"", 'Data Karyawan'!D280, "")</f>
        <v/>
      </c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4" t="str">
        <f t="shared" si="24"/>
        <v/>
      </c>
      <c r="AK285" s="54" t="str">
        <f t="shared" si="25"/>
        <v/>
      </c>
      <c r="AL285" s="54" t="str">
        <f t="shared" si="26"/>
        <v/>
      </c>
      <c r="AM285" s="54" t="str">
        <f t="shared" si="27"/>
        <v/>
      </c>
      <c r="AN285" s="54" t="str">
        <f t="shared" si="28"/>
        <v/>
      </c>
      <c r="AO285" s="56" t="e">
        <f t="shared" si="29"/>
        <v>#VALUE!</v>
      </c>
    </row>
    <row r="286" spans="1:41" x14ac:dyDescent="0.25">
      <c r="A286" s="54" t="str">
        <f>IF('Data Karyawan'!A281&lt;&gt;"", 'Data Karyawan'!A281, "")</f>
        <v/>
      </c>
      <c r="B286" s="54" t="str">
        <f>IF('Data Karyawan'!B281&lt;&gt;"", 'Data Karyawan'!B281, "")</f>
        <v/>
      </c>
      <c r="C286" s="55" t="str">
        <f>IF('Data Karyawan'!C281&lt;&gt;"", 'Data Karyawan'!C281, "")</f>
        <v/>
      </c>
      <c r="D286" s="54" t="str">
        <f>IF('Data Karyawan'!D281&lt;&gt;"", 'Data Karyawan'!D281, "")</f>
        <v/>
      </c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4" t="str">
        <f t="shared" si="24"/>
        <v/>
      </c>
      <c r="AK286" s="54" t="str">
        <f t="shared" si="25"/>
        <v/>
      </c>
      <c r="AL286" s="54" t="str">
        <f t="shared" si="26"/>
        <v/>
      </c>
      <c r="AM286" s="54" t="str">
        <f t="shared" si="27"/>
        <v/>
      </c>
      <c r="AN286" s="54" t="str">
        <f t="shared" si="28"/>
        <v/>
      </c>
      <c r="AO286" s="56" t="e">
        <f t="shared" si="29"/>
        <v>#VALUE!</v>
      </c>
    </row>
    <row r="287" spans="1:41" x14ac:dyDescent="0.25">
      <c r="A287" s="54" t="str">
        <f>IF('Data Karyawan'!A282&lt;&gt;"", 'Data Karyawan'!A282, "")</f>
        <v/>
      </c>
      <c r="B287" s="54" t="str">
        <f>IF('Data Karyawan'!B282&lt;&gt;"", 'Data Karyawan'!B282, "")</f>
        <v/>
      </c>
      <c r="C287" s="55" t="str">
        <f>IF('Data Karyawan'!C282&lt;&gt;"", 'Data Karyawan'!C282, "")</f>
        <v/>
      </c>
      <c r="D287" s="54" t="str">
        <f>IF('Data Karyawan'!D282&lt;&gt;"", 'Data Karyawan'!D282, "")</f>
        <v/>
      </c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4" t="str">
        <f t="shared" si="24"/>
        <v/>
      </c>
      <c r="AK287" s="54" t="str">
        <f t="shared" si="25"/>
        <v/>
      </c>
      <c r="AL287" s="54" t="str">
        <f t="shared" si="26"/>
        <v/>
      </c>
      <c r="AM287" s="54" t="str">
        <f t="shared" si="27"/>
        <v/>
      </c>
      <c r="AN287" s="54" t="str">
        <f t="shared" si="28"/>
        <v/>
      </c>
      <c r="AO287" s="56" t="e">
        <f t="shared" si="29"/>
        <v>#VALUE!</v>
      </c>
    </row>
    <row r="288" spans="1:41" x14ac:dyDescent="0.25">
      <c r="A288" s="54" t="str">
        <f>IF('Data Karyawan'!A283&lt;&gt;"", 'Data Karyawan'!A283, "")</f>
        <v/>
      </c>
      <c r="B288" s="54" t="str">
        <f>IF('Data Karyawan'!B283&lt;&gt;"", 'Data Karyawan'!B283, "")</f>
        <v/>
      </c>
      <c r="C288" s="55" t="str">
        <f>IF('Data Karyawan'!C283&lt;&gt;"", 'Data Karyawan'!C283, "")</f>
        <v/>
      </c>
      <c r="D288" s="54" t="str">
        <f>IF('Data Karyawan'!D283&lt;&gt;"", 'Data Karyawan'!D283, "")</f>
        <v/>
      </c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4" t="str">
        <f t="shared" si="24"/>
        <v/>
      </c>
      <c r="AK288" s="54" t="str">
        <f t="shared" si="25"/>
        <v/>
      </c>
      <c r="AL288" s="54" t="str">
        <f t="shared" si="26"/>
        <v/>
      </c>
      <c r="AM288" s="54" t="str">
        <f t="shared" si="27"/>
        <v/>
      </c>
      <c r="AN288" s="54" t="str">
        <f t="shared" si="28"/>
        <v/>
      </c>
      <c r="AO288" s="56" t="e">
        <f t="shared" si="29"/>
        <v>#VALUE!</v>
      </c>
    </row>
    <row r="289" spans="1:41" x14ac:dyDescent="0.25">
      <c r="A289" s="54" t="str">
        <f>IF('Data Karyawan'!A284&lt;&gt;"", 'Data Karyawan'!A284, "")</f>
        <v/>
      </c>
      <c r="B289" s="54" t="str">
        <f>IF('Data Karyawan'!B284&lt;&gt;"", 'Data Karyawan'!B284, "")</f>
        <v/>
      </c>
      <c r="C289" s="55" t="str">
        <f>IF('Data Karyawan'!C284&lt;&gt;"", 'Data Karyawan'!C284, "")</f>
        <v/>
      </c>
      <c r="D289" s="54" t="str">
        <f>IF('Data Karyawan'!D284&lt;&gt;"", 'Data Karyawan'!D284, "")</f>
        <v/>
      </c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4" t="str">
        <f t="shared" si="24"/>
        <v/>
      </c>
      <c r="AK289" s="54" t="str">
        <f t="shared" si="25"/>
        <v/>
      </c>
      <c r="AL289" s="54" t="str">
        <f t="shared" si="26"/>
        <v/>
      </c>
      <c r="AM289" s="54" t="str">
        <f t="shared" si="27"/>
        <v/>
      </c>
      <c r="AN289" s="54" t="str">
        <f t="shared" si="28"/>
        <v/>
      </c>
      <c r="AO289" s="56" t="e">
        <f t="shared" si="29"/>
        <v>#VALUE!</v>
      </c>
    </row>
    <row r="290" spans="1:41" x14ac:dyDescent="0.25">
      <c r="A290" s="54" t="str">
        <f>IF('Data Karyawan'!A285&lt;&gt;"", 'Data Karyawan'!A285, "")</f>
        <v/>
      </c>
      <c r="B290" s="54" t="str">
        <f>IF('Data Karyawan'!B285&lt;&gt;"", 'Data Karyawan'!B285, "")</f>
        <v/>
      </c>
      <c r="C290" s="55" t="str">
        <f>IF('Data Karyawan'!C285&lt;&gt;"", 'Data Karyawan'!C285, "")</f>
        <v/>
      </c>
      <c r="D290" s="54" t="str">
        <f>IF('Data Karyawan'!D285&lt;&gt;"", 'Data Karyawan'!D285, "")</f>
        <v/>
      </c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4" t="str">
        <f t="shared" si="24"/>
        <v/>
      </c>
      <c r="AK290" s="54" t="str">
        <f t="shared" si="25"/>
        <v/>
      </c>
      <c r="AL290" s="54" t="str">
        <f t="shared" si="26"/>
        <v/>
      </c>
      <c r="AM290" s="54" t="str">
        <f t="shared" si="27"/>
        <v/>
      </c>
      <c r="AN290" s="54" t="str">
        <f t="shared" si="28"/>
        <v/>
      </c>
      <c r="AO290" s="56" t="e">
        <f t="shared" si="29"/>
        <v>#VALUE!</v>
      </c>
    </row>
    <row r="291" spans="1:41" x14ac:dyDescent="0.25">
      <c r="A291" s="54" t="str">
        <f>IF('Data Karyawan'!A286&lt;&gt;"", 'Data Karyawan'!A286, "")</f>
        <v/>
      </c>
      <c r="B291" s="54" t="str">
        <f>IF('Data Karyawan'!B286&lt;&gt;"", 'Data Karyawan'!B286, "")</f>
        <v/>
      </c>
      <c r="C291" s="55" t="str">
        <f>IF('Data Karyawan'!C286&lt;&gt;"", 'Data Karyawan'!C286, "")</f>
        <v/>
      </c>
      <c r="D291" s="54" t="str">
        <f>IF('Data Karyawan'!D286&lt;&gt;"", 'Data Karyawan'!D286, "")</f>
        <v/>
      </c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4" t="str">
        <f t="shared" si="24"/>
        <v/>
      </c>
      <c r="AK291" s="54" t="str">
        <f t="shared" si="25"/>
        <v/>
      </c>
      <c r="AL291" s="54" t="str">
        <f t="shared" si="26"/>
        <v/>
      </c>
      <c r="AM291" s="54" t="str">
        <f t="shared" si="27"/>
        <v/>
      </c>
      <c r="AN291" s="54" t="str">
        <f t="shared" si="28"/>
        <v/>
      </c>
      <c r="AO291" s="56" t="e">
        <f t="shared" si="29"/>
        <v>#VALUE!</v>
      </c>
    </row>
    <row r="292" spans="1:41" x14ac:dyDescent="0.25">
      <c r="A292" s="54" t="str">
        <f>IF('Data Karyawan'!A287&lt;&gt;"", 'Data Karyawan'!A287, "")</f>
        <v/>
      </c>
      <c r="B292" s="54" t="str">
        <f>IF('Data Karyawan'!B287&lt;&gt;"", 'Data Karyawan'!B287, "")</f>
        <v/>
      </c>
      <c r="C292" s="55" t="str">
        <f>IF('Data Karyawan'!C287&lt;&gt;"", 'Data Karyawan'!C287, "")</f>
        <v/>
      </c>
      <c r="D292" s="54" t="str">
        <f>IF('Data Karyawan'!D287&lt;&gt;"", 'Data Karyawan'!D287, "")</f>
        <v/>
      </c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4" t="str">
        <f t="shared" si="24"/>
        <v/>
      </c>
      <c r="AK292" s="54" t="str">
        <f t="shared" si="25"/>
        <v/>
      </c>
      <c r="AL292" s="54" t="str">
        <f t="shared" si="26"/>
        <v/>
      </c>
      <c r="AM292" s="54" t="str">
        <f t="shared" si="27"/>
        <v/>
      </c>
      <c r="AN292" s="54" t="str">
        <f t="shared" si="28"/>
        <v/>
      </c>
      <c r="AO292" s="56" t="e">
        <f t="shared" si="29"/>
        <v>#VALUE!</v>
      </c>
    </row>
    <row r="293" spans="1:41" x14ac:dyDescent="0.25">
      <c r="A293" s="54" t="str">
        <f>IF('Data Karyawan'!A288&lt;&gt;"", 'Data Karyawan'!A288, "")</f>
        <v/>
      </c>
      <c r="B293" s="54" t="str">
        <f>IF('Data Karyawan'!B288&lt;&gt;"", 'Data Karyawan'!B288, "")</f>
        <v/>
      </c>
      <c r="C293" s="55" t="str">
        <f>IF('Data Karyawan'!C288&lt;&gt;"", 'Data Karyawan'!C288, "")</f>
        <v/>
      </c>
      <c r="D293" s="54" t="str">
        <f>IF('Data Karyawan'!D288&lt;&gt;"", 'Data Karyawan'!D288, "")</f>
        <v/>
      </c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4" t="str">
        <f t="shared" si="24"/>
        <v/>
      </c>
      <c r="AK293" s="54" t="str">
        <f t="shared" si="25"/>
        <v/>
      </c>
      <c r="AL293" s="54" t="str">
        <f t="shared" si="26"/>
        <v/>
      </c>
      <c r="AM293" s="54" t="str">
        <f t="shared" si="27"/>
        <v/>
      </c>
      <c r="AN293" s="54" t="str">
        <f t="shared" si="28"/>
        <v/>
      </c>
      <c r="AO293" s="56" t="e">
        <f t="shared" si="29"/>
        <v>#VALUE!</v>
      </c>
    </row>
    <row r="294" spans="1:41" x14ac:dyDescent="0.25">
      <c r="A294" s="54" t="str">
        <f>IF('Data Karyawan'!A289&lt;&gt;"", 'Data Karyawan'!A289, "")</f>
        <v/>
      </c>
      <c r="B294" s="54" t="str">
        <f>IF('Data Karyawan'!B289&lt;&gt;"", 'Data Karyawan'!B289, "")</f>
        <v/>
      </c>
      <c r="C294" s="55" t="str">
        <f>IF('Data Karyawan'!C289&lt;&gt;"", 'Data Karyawan'!C289, "")</f>
        <v/>
      </c>
      <c r="D294" s="54" t="str">
        <f>IF('Data Karyawan'!D289&lt;&gt;"", 'Data Karyawan'!D289, "")</f>
        <v/>
      </c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4" t="str">
        <f t="shared" si="24"/>
        <v/>
      </c>
      <c r="AK294" s="54" t="str">
        <f t="shared" si="25"/>
        <v/>
      </c>
      <c r="AL294" s="54" t="str">
        <f t="shared" si="26"/>
        <v/>
      </c>
      <c r="AM294" s="54" t="str">
        <f t="shared" si="27"/>
        <v/>
      </c>
      <c r="AN294" s="54" t="str">
        <f t="shared" si="28"/>
        <v/>
      </c>
      <c r="AO294" s="56" t="e">
        <f t="shared" si="29"/>
        <v>#VALUE!</v>
      </c>
    </row>
    <row r="295" spans="1:41" x14ac:dyDescent="0.25">
      <c r="A295" s="54" t="str">
        <f>IF('Data Karyawan'!A290&lt;&gt;"", 'Data Karyawan'!A290, "")</f>
        <v/>
      </c>
      <c r="B295" s="54" t="str">
        <f>IF('Data Karyawan'!B290&lt;&gt;"", 'Data Karyawan'!B290, "")</f>
        <v/>
      </c>
      <c r="C295" s="55" t="str">
        <f>IF('Data Karyawan'!C290&lt;&gt;"", 'Data Karyawan'!C290, "")</f>
        <v/>
      </c>
      <c r="D295" s="54" t="str">
        <f>IF('Data Karyawan'!D290&lt;&gt;"", 'Data Karyawan'!D290, "")</f>
        <v/>
      </c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4" t="str">
        <f t="shared" si="24"/>
        <v/>
      </c>
      <c r="AK295" s="54" t="str">
        <f t="shared" si="25"/>
        <v/>
      </c>
      <c r="AL295" s="54" t="str">
        <f t="shared" si="26"/>
        <v/>
      </c>
      <c r="AM295" s="54" t="str">
        <f t="shared" si="27"/>
        <v/>
      </c>
      <c r="AN295" s="54" t="str">
        <f t="shared" si="28"/>
        <v/>
      </c>
      <c r="AO295" s="56" t="e">
        <f t="shared" si="29"/>
        <v>#VALUE!</v>
      </c>
    </row>
    <row r="296" spans="1:41" x14ac:dyDescent="0.25">
      <c r="A296" s="54" t="str">
        <f>IF('Data Karyawan'!A291&lt;&gt;"", 'Data Karyawan'!A291, "")</f>
        <v/>
      </c>
      <c r="B296" s="54" t="str">
        <f>IF('Data Karyawan'!B291&lt;&gt;"", 'Data Karyawan'!B291, "")</f>
        <v/>
      </c>
      <c r="C296" s="55" t="str">
        <f>IF('Data Karyawan'!C291&lt;&gt;"", 'Data Karyawan'!C291, "")</f>
        <v/>
      </c>
      <c r="D296" s="54" t="str">
        <f>IF('Data Karyawan'!D291&lt;&gt;"", 'Data Karyawan'!D291, "")</f>
        <v/>
      </c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4" t="str">
        <f t="shared" si="24"/>
        <v/>
      </c>
      <c r="AK296" s="54" t="str">
        <f t="shared" si="25"/>
        <v/>
      </c>
      <c r="AL296" s="54" t="str">
        <f t="shared" si="26"/>
        <v/>
      </c>
      <c r="AM296" s="54" t="str">
        <f t="shared" si="27"/>
        <v/>
      </c>
      <c r="AN296" s="54" t="str">
        <f t="shared" si="28"/>
        <v/>
      </c>
      <c r="AO296" s="56" t="e">
        <f t="shared" si="29"/>
        <v>#VALUE!</v>
      </c>
    </row>
    <row r="297" spans="1:41" x14ac:dyDescent="0.25">
      <c r="A297" s="54" t="str">
        <f>IF('Data Karyawan'!A292&lt;&gt;"", 'Data Karyawan'!A292, "")</f>
        <v/>
      </c>
      <c r="B297" s="54" t="str">
        <f>IF('Data Karyawan'!B292&lt;&gt;"", 'Data Karyawan'!B292, "")</f>
        <v/>
      </c>
      <c r="C297" s="55" t="str">
        <f>IF('Data Karyawan'!C292&lt;&gt;"", 'Data Karyawan'!C292, "")</f>
        <v/>
      </c>
      <c r="D297" s="54" t="str">
        <f>IF('Data Karyawan'!D292&lt;&gt;"", 'Data Karyawan'!D292, "")</f>
        <v/>
      </c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4" t="str">
        <f t="shared" si="24"/>
        <v/>
      </c>
      <c r="AK297" s="54" t="str">
        <f t="shared" si="25"/>
        <v/>
      </c>
      <c r="AL297" s="54" t="str">
        <f t="shared" si="26"/>
        <v/>
      </c>
      <c r="AM297" s="54" t="str">
        <f t="shared" si="27"/>
        <v/>
      </c>
      <c r="AN297" s="54" t="str">
        <f t="shared" si="28"/>
        <v/>
      </c>
      <c r="AO297" s="56" t="e">
        <f t="shared" si="29"/>
        <v>#VALUE!</v>
      </c>
    </row>
    <row r="298" spans="1:41" x14ac:dyDescent="0.25">
      <c r="A298" s="54" t="str">
        <f>IF('Data Karyawan'!A293&lt;&gt;"", 'Data Karyawan'!A293, "")</f>
        <v/>
      </c>
      <c r="B298" s="54" t="str">
        <f>IF('Data Karyawan'!B293&lt;&gt;"", 'Data Karyawan'!B293, "")</f>
        <v/>
      </c>
      <c r="C298" s="55" t="str">
        <f>IF('Data Karyawan'!C293&lt;&gt;"", 'Data Karyawan'!C293, "")</f>
        <v/>
      </c>
      <c r="D298" s="54" t="str">
        <f>IF('Data Karyawan'!D293&lt;&gt;"", 'Data Karyawan'!D293, "")</f>
        <v/>
      </c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4" t="str">
        <f t="shared" si="24"/>
        <v/>
      </c>
      <c r="AK298" s="54" t="str">
        <f t="shared" si="25"/>
        <v/>
      </c>
      <c r="AL298" s="54" t="str">
        <f t="shared" si="26"/>
        <v/>
      </c>
      <c r="AM298" s="54" t="str">
        <f t="shared" si="27"/>
        <v/>
      </c>
      <c r="AN298" s="54" t="str">
        <f t="shared" si="28"/>
        <v/>
      </c>
      <c r="AO298" s="56" t="e">
        <f t="shared" si="29"/>
        <v>#VALUE!</v>
      </c>
    </row>
    <row r="299" spans="1:41" x14ac:dyDescent="0.25">
      <c r="A299" s="54" t="str">
        <f>IF('Data Karyawan'!A294&lt;&gt;"", 'Data Karyawan'!A294, "")</f>
        <v/>
      </c>
      <c r="B299" s="54" t="str">
        <f>IF('Data Karyawan'!B294&lt;&gt;"", 'Data Karyawan'!B294, "")</f>
        <v/>
      </c>
      <c r="C299" s="55" t="str">
        <f>IF('Data Karyawan'!C294&lt;&gt;"", 'Data Karyawan'!C294, "")</f>
        <v/>
      </c>
      <c r="D299" s="54" t="str">
        <f>IF('Data Karyawan'!D294&lt;&gt;"", 'Data Karyawan'!D294, "")</f>
        <v/>
      </c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4" t="str">
        <f t="shared" si="24"/>
        <v/>
      </c>
      <c r="AK299" s="54" t="str">
        <f t="shared" si="25"/>
        <v/>
      </c>
      <c r="AL299" s="54" t="str">
        <f t="shared" si="26"/>
        <v/>
      </c>
      <c r="AM299" s="54" t="str">
        <f t="shared" si="27"/>
        <v/>
      </c>
      <c r="AN299" s="54" t="str">
        <f t="shared" si="28"/>
        <v/>
      </c>
      <c r="AO299" s="56" t="e">
        <f t="shared" si="29"/>
        <v>#VALUE!</v>
      </c>
    </row>
    <row r="300" spans="1:41" x14ac:dyDescent="0.25">
      <c r="A300" s="54" t="str">
        <f>IF('Data Karyawan'!A295&lt;&gt;"", 'Data Karyawan'!A295, "")</f>
        <v/>
      </c>
      <c r="B300" s="54" t="str">
        <f>IF('Data Karyawan'!B295&lt;&gt;"", 'Data Karyawan'!B295, "")</f>
        <v/>
      </c>
      <c r="C300" s="55" t="str">
        <f>IF('Data Karyawan'!C295&lt;&gt;"", 'Data Karyawan'!C295, "")</f>
        <v/>
      </c>
      <c r="D300" s="54" t="str">
        <f>IF('Data Karyawan'!D295&lt;&gt;"", 'Data Karyawan'!D295, "")</f>
        <v/>
      </c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4" t="str">
        <f t="shared" si="24"/>
        <v/>
      </c>
      <c r="AK300" s="54" t="str">
        <f t="shared" si="25"/>
        <v/>
      </c>
      <c r="AL300" s="54" t="str">
        <f t="shared" si="26"/>
        <v/>
      </c>
      <c r="AM300" s="54" t="str">
        <f t="shared" si="27"/>
        <v/>
      </c>
      <c r="AN300" s="54" t="str">
        <f t="shared" si="28"/>
        <v/>
      </c>
      <c r="AO300" s="56" t="e">
        <f t="shared" si="29"/>
        <v>#VALUE!</v>
      </c>
    </row>
    <row r="301" spans="1:41" x14ac:dyDescent="0.25">
      <c r="A301" s="67" t="s">
        <v>22</v>
      </c>
      <c r="B301" s="68"/>
      <c r="C301" s="68"/>
      <c r="D301" s="68"/>
      <c r="E301" s="50">
        <f t="shared" ref="E301:AI301" si="30">COUNTIF(E9:E300,"H")</f>
        <v>0</v>
      </c>
      <c r="F301" s="50">
        <f t="shared" si="30"/>
        <v>0</v>
      </c>
      <c r="G301" s="50">
        <f t="shared" si="30"/>
        <v>0</v>
      </c>
      <c r="H301" s="50">
        <f t="shared" si="30"/>
        <v>0</v>
      </c>
      <c r="I301" s="50">
        <f t="shared" si="30"/>
        <v>0</v>
      </c>
      <c r="J301" s="50">
        <f t="shared" si="30"/>
        <v>0</v>
      </c>
      <c r="K301" s="50">
        <f t="shared" si="30"/>
        <v>0</v>
      </c>
      <c r="L301" s="50">
        <f t="shared" si="30"/>
        <v>0</v>
      </c>
      <c r="M301" s="50">
        <f t="shared" si="30"/>
        <v>0</v>
      </c>
      <c r="N301" s="50">
        <f t="shared" si="30"/>
        <v>0</v>
      </c>
      <c r="O301" s="50">
        <f t="shared" si="30"/>
        <v>0</v>
      </c>
      <c r="P301" s="50">
        <f t="shared" si="30"/>
        <v>0</v>
      </c>
      <c r="Q301" s="50">
        <f t="shared" si="30"/>
        <v>0</v>
      </c>
      <c r="R301" s="50">
        <f t="shared" si="30"/>
        <v>0</v>
      </c>
      <c r="S301" s="50">
        <f t="shared" si="30"/>
        <v>0</v>
      </c>
      <c r="T301" s="50">
        <f t="shared" si="30"/>
        <v>0</v>
      </c>
      <c r="U301" s="50">
        <f t="shared" si="30"/>
        <v>0</v>
      </c>
      <c r="V301" s="50">
        <f t="shared" si="30"/>
        <v>0</v>
      </c>
      <c r="W301" s="50">
        <f t="shared" si="30"/>
        <v>0</v>
      </c>
      <c r="X301" s="50">
        <f t="shared" si="30"/>
        <v>0</v>
      </c>
      <c r="Y301" s="50">
        <f t="shared" si="30"/>
        <v>0</v>
      </c>
      <c r="Z301" s="50">
        <f t="shared" si="30"/>
        <v>0</v>
      </c>
      <c r="AA301" s="50">
        <f t="shared" si="30"/>
        <v>0</v>
      </c>
      <c r="AB301" s="50">
        <f t="shared" si="30"/>
        <v>0</v>
      </c>
      <c r="AC301" s="50">
        <f t="shared" si="30"/>
        <v>0</v>
      </c>
      <c r="AD301" s="50">
        <f t="shared" si="30"/>
        <v>0</v>
      </c>
      <c r="AE301" s="50">
        <f t="shared" si="30"/>
        <v>0</v>
      </c>
      <c r="AF301" s="50">
        <f t="shared" si="30"/>
        <v>0</v>
      </c>
      <c r="AG301" s="50">
        <f t="shared" si="30"/>
        <v>0</v>
      </c>
      <c r="AH301" s="50">
        <f t="shared" si="30"/>
        <v>0</v>
      </c>
      <c r="AI301" s="50">
        <f t="shared" si="30"/>
        <v>0</v>
      </c>
      <c r="AJ301" s="51">
        <f>SUM(AJ9:AJ300)</f>
        <v>0</v>
      </c>
      <c r="AK301" s="51">
        <f>SUM(AK9:AK300)</f>
        <v>0</v>
      </c>
      <c r="AL301" s="51">
        <f>SUM(AL9:AL300)</f>
        <v>0</v>
      </c>
      <c r="AM301" s="51">
        <f>SUM(AM9:AM300)</f>
        <v>0</v>
      </c>
      <c r="AN301" s="51">
        <f>SUM(AN9:AN300)</f>
        <v>0</v>
      </c>
      <c r="AO301" s="52">
        <f>IFERROR(AVERAGEIF(AO9:AO300,"&gt;0"), 0)</f>
        <v>0</v>
      </c>
    </row>
  </sheetData>
  <autoFilter ref="A7:AO301" xr:uid="{00000000-0001-0000-0000-000000000000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</autoFilter>
  <mergeCells count="13">
    <mergeCell ref="AO7:AO8"/>
    <mergeCell ref="AM7:AM8"/>
    <mergeCell ref="A301:D301"/>
    <mergeCell ref="E7:AI7"/>
    <mergeCell ref="C7:C8"/>
    <mergeCell ref="A7:A8"/>
    <mergeCell ref="D7:D8"/>
    <mergeCell ref="B7:B8"/>
    <mergeCell ref="C6:D6"/>
    <mergeCell ref="AK7:AK8"/>
    <mergeCell ref="AJ7:AJ8"/>
    <mergeCell ref="AN7:AN8"/>
    <mergeCell ref="AL7:AL8"/>
  </mergeCells>
  <conditionalFormatting sqref="E8:AI301">
    <cfRule type="expression" dxfId="25" priority="1" stopIfTrue="1">
      <formula>E$8=""</formula>
    </cfRule>
  </conditionalFormatting>
  <conditionalFormatting sqref="E9:AI300">
    <cfRule type="cellIs" dxfId="24" priority="12" stopIfTrue="1" operator="equal">
      <formula>"H"</formula>
    </cfRule>
    <cfRule type="cellIs" dxfId="23" priority="13" stopIfTrue="1" operator="equal">
      <formula>"S"</formula>
    </cfRule>
    <cfRule type="cellIs" dxfId="22" priority="14" stopIfTrue="1" operator="equal">
      <formula>"I"</formula>
    </cfRule>
    <cfRule type="cellIs" dxfId="21" priority="15" stopIfTrue="1" operator="equal">
      <formula>"A"</formula>
    </cfRule>
    <cfRule type="cellIs" dxfId="20" priority="16" stopIfTrue="1" operator="equal">
      <formula>"C"</formula>
    </cfRule>
    <cfRule type="cellIs" dxfId="19" priority="17" stopIfTrue="1" operator="equal">
      <formula>"OFF"</formula>
    </cfRule>
  </conditionalFormatting>
  <printOptions horizontalCentered="1"/>
  <pageMargins left="0.25" right="0.25" top="0.4" bottom="0.4" header="0.11811023622047245" footer="0.11811023622047245"/>
  <pageSetup paperSize="9" scale="59" fitToHeight="0" orientation="landscape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BBB59D7-398D-42CC-A515-D5BCEBD8F4E8}">
            <xm:f>AND(E$8&lt;&gt;"", OR(WEEKDAY(DATE($C$4,VLOOKUP($C$5,Pengaturan!$A$2:$B$13,2,FALSE),E$8),2)=7, COUNTIF(Pengaturan!$I$2:$I$50, DATE($C$4,VLOOKUP($C$5,Pengaturan!$A$2:$B$13,2,FALSE),E$8))&gt;0))</xm:f>
            <x14:dxf>
              <font>
                <color rgb="FFB91C1C"/>
              </font>
              <fill>
                <patternFill>
                  <bgColor rgb="FFFEE2E2"/>
                </patternFill>
              </fill>
            </x14:dxf>
          </x14:cfRule>
          <xm:sqref>E8:AI301</xm:sqref>
        </x14:conditionalFormatting>
        <x14:conditionalFormatting xmlns:xm="http://schemas.microsoft.com/office/excel/2006/main">
          <x14:cfRule type="expression" priority="3" stopIfTrue="1" id="{62BAC64C-97E3-48AD-8EEE-696B490FAA20}">
            <xm:f>AND($C$6="Hanya Karyawan Aktif (Sembunyikan OUT)", 'Data Karyawan'!$F4&lt;&gt;"AKTIF", 'Data Karyawan'!$C4&lt;&gt;"")</xm:f>
            <x14:dxf>
              <font>
                <color rgb="FFD7D7D7"/>
              </font>
              <fill>
                <patternFill>
                  <bgColor rgb="FFF8F9FA"/>
                </patternFill>
              </fill>
            </x14:dxf>
          </x14:cfRule>
          <x14:cfRule type="expression" priority="4" stopIfTrue="1" id="{3D16AA84-FE13-4C66-890F-99470C84CC42}">
            <xm:f>AND($C$6="Sembunyikan Karyawan OUT", 'Data Karyawan'!$F4="OUT")</xm:f>
            <x14:dxf>
              <font>
                <color rgb="FFD7D7D7"/>
              </font>
              <fill>
                <patternFill>
                  <bgColor rgb="FFF8F9FA"/>
                </patternFill>
              </fill>
            </x14:dxf>
          </x14:cfRule>
          <x14:cfRule type="expression" priority="5" stopIfTrue="1" id="{12B78C5B-7F50-41CD-ABDA-1C664468F13B}">
            <xm:f>AND($C$6="Sembunyikan Karyawan Cuti", 'Data Karyawan'!$F4="CUTI")</xm:f>
            <x14:dxf>
              <font>
                <color rgb="FFD7D7D7"/>
              </font>
              <fill>
                <patternFill>
                  <bgColor rgb="FFF8F9FA"/>
                </patternFill>
              </fill>
            </x14:dxf>
          </x14:cfRule>
          <x14:cfRule type="expression" priority="6" stopIfTrue="1" id="{C9F105C9-EC4E-42D6-9A90-7B0AAC1C0C69}">
            <xm:f>AND($C$6="Hanya Karyawan Cuti", 'Data Karyawan'!$F4&lt;&gt;"CUTI", 'Data Karyawan'!$C4&lt;&gt;"")</xm:f>
            <x14:dxf>
              <font>
                <color rgb="FFD7D7D7"/>
              </font>
              <fill>
                <patternFill>
                  <bgColor rgb="FFF8F9FA"/>
                </patternFill>
              </fill>
            </x14:dxf>
          </x14:cfRule>
          <x14:cfRule type="expression" priority="7" stopIfTrue="1" id="{300B310B-0C0B-447F-89FF-77A9B5BB7962}">
            <xm:f>AND($C$6="Hanya Karyawan OUT", 'Data Karyawan'!$F4&lt;&gt;"OUT", 'Data Karyawan'!$C4&lt;&gt;"")</xm:f>
            <x14:dxf>
              <font>
                <color rgb="FFD7D7D7"/>
              </font>
              <fill>
                <patternFill>
                  <bgColor rgb="FFF8F9FA"/>
                </patternFill>
              </fill>
            </x14:dxf>
          </x14:cfRule>
          <x14:cfRule type="expression" priority="8" stopIfTrue="1" id="{C5151838-799F-4724-89F0-E9E27F50D6AE}">
            <xm:f>'Data Karyawan'!$F4="OUT"</xm:f>
            <x14:dxf>
              <font>
                <color rgb="FF991B1B"/>
              </font>
              <fill>
                <patternFill>
                  <bgColor rgb="FFFEE2E2"/>
                </patternFill>
              </fill>
            </x14:dxf>
          </x14:cfRule>
          <x14:cfRule type="expression" priority="9" stopIfTrue="1" id="{262BC40B-311D-4AF9-8A70-CEBBDAE04415}">
            <xm:f>'Data Karyawan'!$F4="NON AKTIF"</xm:f>
            <x14:dxf>
              <font>
                <color rgb="FF4B5563"/>
              </font>
              <fill>
                <patternFill>
                  <bgColor rgb="FFF3F4F6"/>
                </patternFill>
              </fill>
            </x14:dxf>
          </x14:cfRule>
          <x14:cfRule type="expression" priority="10" stopIfTrue="1" id="{5CFFBE03-4EF9-4907-865D-94D495D0A437}">
            <xm:f>'Data Karyawan'!$F4="CUTI"</xm:f>
            <x14:dxf>
              <font>
                <color rgb="FF854D0E"/>
              </font>
              <fill>
                <patternFill>
                  <bgColor rgb="FFFEF9C3"/>
                </patternFill>
              </fill>
            </x14:dxf>
          </x14:cfRule>
          <x14:cfRule type="expression" priority="11" stopIfTrue="1" id="{E3EEB203-F00E-4950-B124-A64AC8682F1C}">
            <xm:f>'Data Karyawan'!$F4="RESIGN"</xm:f>
            <x14:dxf>
              <font>
                <color rgb="FF6B21A8"/>
              </font>
              <fill>
                <patternFill>
                  <bgColor rgb="FFF3E8FF"/>
                </patternFill>
              </fill>
            </x14:dxf>
          </x14:cfRule>
          <xm:sqref>A9:AO300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000-000001000000}">
          <x14:formula1>
            <xm:f>Pengaturan!$D$2:$D$8</xm:f>
          </x14:formula1>
          <xm:sqref>C4</xm:sqref>
        </x14:dataValidation>
        <x14:dataValidation type="list" allowBlank="1" xr:uid="{00000000-0002-0000-0000-000002000000}">
          <x14:formula1>
            <xm:f>Pengaturan!$A$2:$A$13</xm:f>
          </x14:formula1>
          <xm:sqref>C5</xm:sqref>
        </x14:dataValidation>
        <x14:dataValidation type="list" allowBlank="1" showInputMessage="1" showErrorMessage="1" xr:uid="{505B54FF-41ED-4F3C-8CD7-425FF0CD2577}">
          <x14:formula1>
            <xm:f>Pengaturan!$F$2:$F$7</xm:f>
          </x14:formula1>
          <xm:sqref>E9:AI300</xm:sqref>
        </x14:dataValidation>
        <x14:dataValidation type="list" allowBlank="1" showInputMessage="1" showErrorMessage="1" promptTitle="Filter Absensi" prompt="Pilih filter untuk menampilkan atau menyembunyikan status tertentu (OUT, Cuti, dll)." xr:uid="{4339F5D8-0C6B-4A03-8C5F-1F247FAA8335}">
          <x14:formula1>
            <xm:f>Pengaturan!$N$2:$N$7</xm:f>
          </x14:formula1>
          <xm:sqref>C6:D6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500"/>
  <sheetViews>
    <sheetView tabSelected="1" workbookViewId="0">
      <pane ySplit="3" topLeftCell="A113" activePane="bottomLeft" state="frozen"/>
      <selection pane="bottomLeft" activeCell="J115" sqref="J115"/>
    </sheetView>
  </sheetViews>
  <sheetFormatPr defaultRowHeight="15" x14ac:dyDescent="0.25"/>
  <cols>
    <col min="1" max="1" width="4.42578125" style="42" bestFit="1" customWidth="1"/>
    <col min="2" max="2" width="15" style="42" customWidth="1"/>
    <col min="3" max="3" width="20.42578125" style="40" bestFit="1" customWidth="1"/>
    <col min="4" max="4" width="22" style="42" customWidth="1"/>
    <col min="5" max="5" width="19" style="42" customWidth="1"/>
    <col min="6" max="6" width="21" style="42" customWidth="1"/>
    <col min="7" max="16384" width="9.140625" style="41"/>
  </cols>
  <sheetData>
    <row r="1" spans="1:6" ht="20.25" customHeight="1" x14ac:dyDescent="0.25">
      <c r="A1" s="74" t="s">
        <v>23</v>
      </c>
      <c r="B1" s="75"/>
      <c r="C1" s="75"/>
      <c r="D1" s="75"/>
      <c r="E1" s="75"/>
      <c r="F1" s="75"/>
    </row>
    <row r="3" spans="1:6" s="25" customFormat="1" x14ac:dyDescent="0.25">
      <c r="A3" s="91" t="s">
        <v>18</v>
      </c>
      <c r="B3" s="91" t="s">
        <v>19</v>
      </c>
      <c r="C3" s="91" t="s">
        <v>24</v>
      </c>
      <c r="D3" s="91" t="s">
        <v>25</v>
      </c>
      <c r="E3" s="91" t="s">
        <v>26</v>
      </c>
      <c r="F3" s="91" t="s">
        <v>27</v>
      </c>
    </row>
    <row r="4" spans="1:6" x14ac:dyDescent="0.25">
      <c r="A4" s="92">
        <v>1</v>
      </c>
      <c r="B4" s="92">
        <v>80094</v>
      </c>
      <c r="C4" s="93" t="s">
        <v>28</v>
      </c>
      <c r="D4" s="94" t="s">
        <v>29</v>
      </c>
      <c r="E4" s="94" t="s">
        <v>30</v>
      </c>
      <c r="F4" s="94" t="s">
        <v>31</v>
      </c>
    </row>
    <row r="5" spans="1:6" x14ac:dyDescent="0.25">
      <c r="A5" s="92">
        <v>2</v>
      </c>
      <c r="B5" s="92">
        <v>80095</v>
      </c>
      <c r="C5" s="93" t="s">
        <v>32</v>
      </c>
      <c r="D5" s="94" t="s">
        <v>29</v>
      </c>
      <c r="E5" s="94" t="s">
        <v>30</v>
      </c>
      <c r="F5" s="94" t="s">
        <v>31</v>
      </c>
    </row>
    <row r="6" spans="1:6" x14ac:dyDescent="0.25">
      <c r="A6" s="92">
        <v>3</v>
      </c>
      <c r="B6" s="92">
        <v>80097</v>
      </c>
      <c r="C6" s="93" t="s">
        <v>33</v>
      </c>
      <c r="D6" s="94" t="s">
        <v>29</v>
      </c>
      <c r="E6" s="94" t="s">
        <v>30</v>
      </c>
      <c r="F6" s="94" t="s">
        <v>31</v>
      </c>
    </row>
    <row r="7" spans="1:6" x14ac:dyDescent="0.25">
      <c r="A7" s="92">
        <v>4</v>
      </c>
      <c r="B7" s="92">
        <v>80098</v>
      </c>
      <c r="C7" s="93" t="s">
        <v>34</v>
      </c>
      <c r="D7" s="94" t="s">
        <v>29</v>
      </c>
      <c r="E7" s="94" t="s">
        <v>30</v>
      </c>
      <c r="F7" s="94" t="s">
        <v>31</v>
      </c>
    </row>
    <row r="8" spans="1:6" x14ac:dyDescent="0.25">
      <c r="A8" s="92">
        <v>5</v>
      </c>
      <c r="B8" s="92">
        <v>80099</v>
      </c>
      <c r="C8" s="93" t="s">
        <v>35</v>
      </c>
      <c r="D8" s="94" t="s">
        <v>29</v>
      </c>
      <c r="E8" s="94" t="s">
        <v>30</v>
      </c>
      <c r="F8" s="94" t="s">
        <v>31</v>
      </c>
    </row>
    <row r="9" spans="1:6" x14ac:dyDescent="0.25">
      <c r="A9" s="92">
        <v>6</v>
      </c>
      <c r="B9" s="92">
        <v>80100</v>
      </c>
      <c r="C9" s="93" t="s">
        <v>36</v>
      </c>
      <c r="D9" s="94" t="s">
        <v>29</v>
      </c>
      <c r="E9" s="94" t="s">
        <v>30</v>
      </c>
      <c r="F9" s="94" t="s">
        <v>31</v>
      </c>
    </row>
    <row r="10" spans="1:6" x14ac:dyDescent="0.25">
      <c r="A10" s="92">
        <v>7</v>
      </c>
      <c r="B10" s="92">
        <v>80101</v>
      </c>
      <c r="C10" s="93" t="s">
        <v>37</v>
      </c>
      <c r="D10" s="94" t="s">
        <v>29</v>
      </c>
      <c r="E10" s="94" t="s">
        <v>30</v>
      </c>
      <c r="F10" s="94" t="s">
        <v>31</v>
      </c>
    </row>
    <row r="11" spans="1:6" x14ac:dyDescent="0.25">
      <c r="A11" s="92">
        <v>8</v>
      </c>
      <c r="B11" s="92">
        <v>80102</v>
      </c>
      <c r="C11" s="93" t="s">
        <v>38</v>
      </c>
      <c r="D11" s="94" t="s">
        <v>29</v>
      </c>
      <c r="E11" s="94" t="s">
        <v>30</v>
      </c>
      <c r="F11" s="94" t="s">
        <v>31</v>
      </c>
    </row>
    <row r="12" spans="1:6" x14ac:dyDescent="0.25">
      <c r="A12" s="92">
        <v>9</v>
      </c>
      <c r="B12" s="92">
        <v>80103</v>
      </c>
      <c r="C12" s="93" t="s">
        <v>39</v>
      </c>
      <c r="D12" s="94" t="s">
        <v>29</v>
      </c>
      <c r="E12" s="94" t="s">
        <v>30</v>
      </c>
      <c r="F12" s="94" t="s">
        <v>31</v>
      </c>
    </row>
    <row r="13" spans="1:6" x14ac:dyDescent="0.25">
      <c r="A13" s="92">
        <v>10</v>
      </c>
      <c r="B13" s="92">
        <v>80104</v>
      </c>
      <c r="C13" s="93" t="s">
        <v>40</v>
      </c>
      <c r="D13" s="94" t="s">
        <v>29</v>
      </c>
      <c r="E13" s="94" t="s">
        <v>30</v>
      </c>
      <c r="F13" s="94" t="s">
        <v>31</v>
      </c>
    </row>
    <row r="14" spans="1:6" x14ac:dyDescent="0.25">
      <c r="A14" s="92">
        <v>11</v>
      </c>
      <c r="B14" s="92">
        <v>80105</v>
      </c>
      <c r="C14" s="93" t="s">
        <v>41</v>
      </c>
      <c r="D14" s="94" t="s">
        <v>29</v>
      </c>
      <c r="E14" s="94" t="s">
        <v>30</v>
      </c>
      <c r="F14" s="94" t="s">
        <v>31</v>
      </c>
    </row>
    <row r="15" spans="1:6" x14ac:dyDescent="0.25">
      <c r="A15" s="92">
        <v>12</v>
      </c>
      <c r="B15" s="92">
        <v>80106</v>
      </c>
      <c r="C15" s="93" t="s">
        <v>42</v>
      </c>
      <c r="D15" s="94" t="s">
        <v>29</v>
      </c>
      <c r="E15" s="94" t="s">
        <v>30</v>
      </c>
      <c r="F15" s="94" t="s">
        <v>31</v>
      </c>
    </row>
    <row r="16" spans="1:6" x14ac:dyDescent="0.25">
      <c r="A16" s="92">
        <v>13</v>
      </c>
      <c r="B16" s="92">
        <v>80107</v>
      </c>
      <c r="C16" s="93" t="s">
        <v>43</v>
      </c>
      <c r="D16" s="94" t="s">
        <v>29</v>
      </c>
      <c r="E16" s="94" t="s">
        <v>30</v>
      </c>
      <c r="F16" s="94" t="s">
        <v>31</v>
      </c>
    </row>
    <row r="17" spans="1:6" x14ac:dyDescent="0.25">
      <c r="A17" s="92">
        <v>14</v>
      </c>
      <c r="B17" s="92">
        <v>80108</v>
      </c>
      <c r="C17" s="93" t="s">
        <v>44</v>
      </c>
      <c r="D17" s="94" t="s">
        <v>29</v>
      </c>
      <c r="E17" s="94" t="s">
        <v>30</v>
      </c>
      <c r="F17" s="94" t="s">
        <v>31</v>
      </c>
    </row>
    <row r="18" spans="1:6" x14ac:dyDescent="0.25">
      <c r="A18" s="92">
        <v>15</v>
      </c>
      <c r="B18" s="92">
        <v>80123</v>
      </c>
      <c r="C18" s="93" t="s">
        <v>45</v>
      </c>
      <c r="D18" s="94" t="s">
        <v>29</v>
      </c>
      <c r="E18" s="94" t="s">
        <v>30</v>
      </c>
      <c r="F18" s="94" t="s">
        <v>31</v>
      </c>
    </row>
    <row r="19" spans="1:6" x14ac:dyDescent="0.25">
      <c r="A19" s="92">
        <v>16</v>
      </c>
      <c r="B19" s="92">
        <v>80124</v>
      </c>
      <c r="C19" s="93" t="s">
        <v>46</v>
      </c>
      <c r="D19" s="94" t="s">
        <v>29</v>
      </c>
      <c r="E19" s="94" t="s">
        <v>30</v>
      </c>
      <c r="F19" s="94" t="s">
        <v>31</v>
      </c>
    </row>
    <row r="20" spans="1:6" x14ac:dyDescent="0.25">
      <c r="A20" s="92">
        <v>17</v>
      </c>
      <c r="B20" s="92">
        <v>80125</v>
      </c>
      <c r="C20" s="93" t="s">
        <v>47</v>
      </c>
      <c r="D20" s="94" t="s">
        <v>29</v>
      </c>
      <c r="E20" s="94" t="s">
        <v>30</v>
      </c>
      <c r="F20" s="94" t="s">
        <v>31</v>
      </c>
    </row>
    <row r="21" spans="1:6" x14ac:dyDescent="0.25">
      <c r="A21" s="92">
        <v>18</v>
      </c>
      <c r="B21" s="92">
        <v>80126</v>
      </c>
      <c r="C21" s="93" t="s">
        <v>48</v>
      </c>
      <c r="D21" s="94" t="s">
        <v>29</v>
      </c>
      <c r="E21" s="94" t="s">
        <v>30</v>
      </c>
      <c r="F21" s="94" t="s">
        <v>31</v>
      </c>
    </row>
    <row r="22" spans="1:6" x14ac:dyDescent="0.25">
      <c r="A22" s="92">
        <v>19</v>
      </c>
      <c r="B22" s="92">
        <v>80127</v>
      </c>
      <c r="C22" s="93" t="s">
        <v>49</v>
      </c>
      <c r="D22" s="94" t="s">
        <v>29</v>
      </c>
      <c r="E22" s="94" t="s">
        <v>30</v>
      </c>
      <c r="F22" s="94" t="s">
        <v>31</v>
      </c>
    </row>
    <row r="23" spans="1:6" x14ac:dyDescent="0.25">
      <c r="A23" s="92">
        <v>20</v>
      </c>
      <c r="B23" s="92">
        <v>80128</v>
      </c>
      <c r="C23" s="93" t="s">
        <v>50</v>
      </c>
      <c r="D23" s="94" t="s">
        <v>29</v>
      </c>
      <c r="E23" s="94" t="s">
        <v>30</v>
      </c>
      <c r="F23" s="94" t="s">
        <v>31</v>
      </c>
    </row>
    <row r="24" spans="1:6" x14ac:dyDescent="0.25">
      <c r="A24" s="95">
        <v>21</v>
      </c>
      <c r="B24" s="95">
        <v>80129</v>
      </c>
      <c r="C24" s="96" t="s">
        <v>51</v>
      </c>
      <c r="D24" s="97" t="s">
        <v>29</v>
      </c>
      <c r="E24" s="97" t="s">
        <v>30</v>
      </c>
      <c r="F24" s="94" t="s">
        <v>31</v>
      </c>
    </row>
    <row r="25" spans="1:6" x14ac:dyDescent="0.25">
      <c r="A25" s="92">
        <v>22</v>
      </c>
      <c r="B25" s="92">
        <v>80130</v>
      </c>
      <c r="C25" s="93" t="s">
        <v>53</v>
      </c>
      <c r="D25" s="94" t="s">
        <v>29</v>
      </c>
      <c r="E25" s="94" t="s">
        <v>30</v>
      </c>
      <c r="F25" s="94" t="s">
        <v>31</v>
      </c>
    </row>
    <row r="26" spans="1:6" x14ac:dyDescent="0.25">
      <c r="A26" s="92">
        <v>23</v>
      </c>
      <c r="B26" s="92">
        <v>80131</v>
      </c>
      <c r="C26" s="93" t="s">
        <v>54</v>
      </c>
      <c r="D26" s="94" t="s">
        <v>29</v>
      </c>
      <c r="E26" s="94" t="s">
        <v>30</v>
      </c>
      <c r="F26" s="94" t="s">
        <v>31</v>
      </c>
    </row>
    <row r="27" spans="1:6" x14ac:dyDescent="0.25">
      <c r="A27" s="92">
        <v>24</v>
      </c>
      <c r="B27" s="92">
        <v>80132</v>
      </c>
      <c r="C27" s="93" t="s">
        <v>55</v>
      </c>
      <c r="D27" s="94" t="s">
        <v>29</v>
      </c>
      <c r="E27" s="94" t="s">
        <v>30</v>
      </c>
      <c r="F27" s="94" t="s">
        <v>31</v>
      </c>
    </row>
    <row r="28" spans="1:6" x14ac:dyDescent="0.25">
      <c r="A28" s="92">
        <v>25</v>
      </c>
      <c r="B28" s="92">
        <v>80133</v>
      </c>
      <c r="C28" s="93" t="s">
        <v>56</v>
      </c>
      <c r="D28" s="94" t="s">
        <v>29</v>
      </c>
      <c r="E28" s="94" t="s">
        <v>30</v>
      </c>
      <c r="F28" s="94" t="s">
        <v>31</v>
      </c>
    </row>
    <row r="29" spans="1:6" x14ac:dyDescent="0.25">
      <c r="A29" s="92">
        <v>26</v>
      </c>
      <c r="B29" s="92">
        <v>80134</v>
      </c>
      <c r="C29" s="93" t="s">
        <v>57</v>
      </c>
      <c r="D29" s="94" t="s">
        <v>29</v>
      </c>
      <c r="E29" s="94" t="s">
        <v>30</v>
      </c>
      <c r="F29" s="94" t="s">
        <v>31</v>
      </c>
    </row>
    <row r="30" spans="1:6" x14ac:dyDescent="0.25">
      <c r="A30" s="92">
        <v>27</v>
      </c>
      <c r="B30" s="92">
        <v>80135</v>
      </c>
      <c r="C30" s="93" t="s">
        <v>58</v>
      </c>
      <c r="D30" s="94" t="s">
        <v>29</v>
      </c>
      <c r="E30" s="94" t="s">
        <v>30</v>
      </c>
      <c r="F30" s="94" t="s">
        <v>31</v>
      </c>
    </row>
    <row r="31" spans="1:6" x14ac:dyDescent="0.25">
      <c r="A31" s="92">
        <v>28</v>
      </c>
      <c r="B31" s="92">
        <v>80136</v>
      </c>
      <c r="C31" s="93" t="s">
        <v>59</v>
      </c>
      <c r="D31" s="94" t="s">
        <v>29</v>
      </c>
      <c r="E31" s="94" t="s">
        <v>30</v>
      </c>
      <c r="F31" s="94" t="s">
        <v>31</v>
      </c>
    </row>
    <row r="32" spans="1:6" x14ac:dyDescent="0.25">
      <c r="A32" s="92">
        <v>29</v>
      </c>
      <c r="B32" s="92">
        <v>80137</v>
      </c>
      <c r="C32" s="93" t="s">
        <v>60</v>
      </c>
      <c r="D32" s="94" t="s">
        <v>29</v>
      </c>
      <c r="E32" s="94" t="s">
        <v>30</v>
      </c>
      <c r="F32" s="94" t="s">
        <v>31</v>
      </c>
    </row>
    <row r="33" spans="1:6" x14ac:dyDescent="0.25">
      <c r="A33" s="92">
        <v>30</v>
      </c>
      <c r="B33" s="92">
        <v>80138</v>
      </c>
      <c r="C33" s="93" t="s">
        <v>61</v>
      </c>
      <c r="D33" s="94" t="s">
        <v>29</v>
      </c>
      <c r="E33" s="94" t="s">
        <v>30</v>
      </c>
      <c r="F33" s="94" t="s">
        <v>31</v>
      </c>
    </row>
    <row r="34" spans="1:6" x14ac:dyDescent="0.25">
      <c r="A34" s="92">
        <v>31</v>
      </c>
      <c r="B34" s="92">
        <v>80139</v>
      </c>
      <c r="C34" s="93" t="s">
        <v>62</v>
      </c>
      <c r="D34" s="94" t="s">
        <v>29</v>
      </c>
      <c r="E34" s="94" t="s">
        <v>30</v>
      </c>
      <c r="F34" s="94" t="s">
        <v>31</v>
      </c>
    </row>
    <row r="35" spans="1:6" x14ac:dyDescent="0.25">
      <c r="A35" s="92">
        <v>32</v>
      </c>
      <c r="B35" s="92">
        <v>80140</v>
      </c>
      <c r="C35" s="93" t="s">
        <v>63</v>
      </c>
      <c r="D35" s="94" t="s">
        <v>29</v>
      </c>
      <c r="E35" s="94" t="s">
        <v>30</v>
      </c>
      <c r="F35" s="94" t="s">
        <v>31</v>
      </c>
    </row>
    <row r="36" spans="1:6" x14ac:dyDescent="0.25">
      <c r="A36" s="92">
        <v>33</v>
      </c>
      <c r="B36" s="92">
        <v>80141</v>
      </c>
      <c r="C36" s="93" t="s">
        <v>64</v>
      </c>
      <c r="D36" s="94" t="s">
        <v>29</v>
      </c>
      <c r="E36" s="94" t="s">
        <v>30</v>
      </c>
      <c r="F36" s="94" t="s">
        <v>31</v>
      </c>
    </row>
    <row r="37" spans="1:6" x14ac:dyDescent="0.25">
      <c r="A37" s="92">
        <v>34</v>
      </c>
      <c r="B37" s="92">
        <v>80142</v>
      </c>
      <c r="C37" s="93" t="s">
        <v>65</v>
      </c>
      <c r="D37" s="94" t="s">
        <v>29</v>
      </c>
      <c r="E37" s="94" t="s">
        <v>30</v>
      </c>
      <c r="F37" s="94" t="s">
        <v>31</v>
      </c>
    </row>
    <row r="38" spans="1:6" x14ac:dyDescent="0.25">
      <c r="A38" s="92">
        <v>35</v>
      </c>
      <c r="B38" s="92">
        <v>80143</v>
      </c>
      <c r="C38" s="93" t="s">
        <v>66</v>
      </c>
      <c r="D38" s="94" t="s">
        <v>29</v>
      </c>
      <c r="E38" s="94" t="s">
        <v>30</v>
      </c>
      <c r="F38" s="94" t="s">
        <v>31</v>
      </c>
    </row>
    <row r="39" spans="1:6" x14ac:dyDescent="0.25">
      <c r="A39" s="92">
        <v>36</v>
      </c>
      <c r="B39" s="98">
        <v>80144</v>
      </c>
      <c r="C39" s="93" t="s">
        <v>67</v>
      </c>
      <c r="D39" s="94" t="s">
        <v>29</v>
      </c>
      <c r="E39" s="94" t="s">
        <v>30</v>
      </c>
      <c r="F39" s="94" t="s">
        <v>31</v>
      </c>
    </row>
    <row r="40" spans="1:6" x14ac:dyDescent="0.25">
      <c r="A40" s="92">
        <v>37</v>
      </c>
      <c r="B40" s="92">
        <v>80145</v>
      </c>
      <c r="C40" s="93" t="s">
        <v>68</v>
      </c>
      <c r="D40" s="94" t="s">
        <v>29</v>
      </c>
      <c r="E40" s="94" t="s">
        <v>30</v>
      </c>
      <c r="F40" s="94" t="s">
        <v>31</v>
      </c>
    </row>
    <row r="41" spans="1:6" x14ac:dyDescent="0.25">
      <c r="A41" s="92">
        <v>38</v>
      </c>
      <c r="B41" s="98">
        <v>80146</v>
      </c>
      <c r="C41" s="93" t="s">
        <v>69</v>
      </c>
      <c r="D41" s="94" t="s">
        <v>29</v>
      </c>
      <c r="E41" s="94" t="s">
        <v>30</v>
      </c>
      <c r="F41" s="94" t="s">
        <v>31</v>
      </c>
    </row>
    <row r="42" spans="1:6" x14ac:dyDescent="0.25">
      <c r="A42" s="92">
        <v>39</v>
      </c>
      <c r="B42" s="92">
        <v>80147</v>
      </c>
      <c r="C42" s="93" t="s">
        <v>70</v>
      </c>
      <c r="D42" s="94" t="s">
        <v>29</v>
      </c>
      <c r="E42" s="94" t="s">
        <v>30</v>
      </c>
      <c r="F42" s="94" t="s">
        <v>31</v>
      </c>
    </row>
    <row r="43" spans="1:6" x14ac:dyDescent="0.25">
      <c r="A43" s="92">
        <v>40</v>
      </c>
      <c r="B43" s="92">
        <v>80148</v>
      </c>
      <c r="C43" s="93" t="s">
        <v>71</v>
      </c>
      <c r="D43" s="94" t="s">
        <v>29</v>
      </c>
      <c r="E43" s="94" t="s">
        <v>30</v>
      </c>
      <c r="F43" s="94" t="s">
        <v>31</v>
      </c>
    </row>
    <row r="44" spans="1:6" x14ac:dyDescent="0.25">
      <c r="A44" s="92">
        <v>41</v>
      </c>
      <c r="B44" s="98">
        <v>80150</v>
      </c>
      <c r="C44" s="93" t="s">
        <v>72</v>
      </c>
      <c r="D44" s="94" t="s">
        <v>29</v>
      </c>
      <c r="E44" s="94" t="s">
        <v>30</v>
      </c>
      <c r="F44" s="94" t="s">
        <v>31</v>
      </c>
    </row>
    <row r="45" spans="1:6" x14ac:dyDescent="0.25">
      <c r="A45" s="92">
        <v>42</v>
      </c>
      <c r="B45" s="92">
        <v>80151</v>
      </c>
      <c r="C45" s="93" t="s">
        <v>73</v>
      </c>
      <c r="D45" s="94" t="s">
        <v>29</v>
      </c>
      <c r="E45" s="94" t="s">
        <v>30</v>
      </c>
      <c r="F45" s="94" t="s">
        <v>31</v>
      </c>
    </row>
    <row r="46" spans="1:6" x14ac:dyDescent="0.25">
      <c r="A46" s="95">
        <v>43</v>
      </c>
      <c r="B46" s="95">
        <v>80152</v>
      </c>
      <c r="C46" s="96" t="s">
        <v>74</v>
      </c>
      <c r="D46" s="97" t="s">
        <v>29</v>
      </c>
      <c r="E46" s="97" t="s">
        <v>30</v>
      </c>
      <c r="F46" s="94" t="s">
        <v>31</v>
      </c>
    </row>
    <row r="47" spans="1:6" x14ac:dyDescent="0.25">
      <c r="A47" s="92">
        <v>44</v>
      </c>
      <c r="B47" s="92">
        <v>80153</v>
      </c>
      <c r="C47" s="93" t="s">
        <v>75</v>
      </c>
      <c r="D47" s="94" t="s">
        <v>29</v>
      </c>
      <c r="E47" s="94" t="s">
        <v>30</v>
      </c>
      <c r="F47" s="94" t="s">
        <v>31</v>
      </c>
    </row>
    <row r="48" spans="1:6" x14ac:dyDescent="0.25">
      <c r="A48" s="92">
        <v>45</v>
      </c>
      <c r="B48" s="92">
        <v>80154</v>
      </c>
      <c r="C48" s="93" t="s">
        <v>76</v>
      </c>
      <c r="D48" s="94" t="s">
        <v>29</v>
      </c>
      <c r="E48" s="94" t="s">
        <v>30</v>
      </c>
      <c r="F48" s="94" t="s">
        <v>31</v>
      </c>
    </row>
    <row r="49" spans="1:6" x14ac:dyDescent="0.25">
      <c r="A49" s="92">
        <v>46</v>
      </c>
      <c r="B49" s="92">
        <v>80155</v>
      </c>
      <c r="C49" s="93" t="s">
        <v>77</v>
      </c>
      <c r="D49" s="94" t="s">
        <v>29</v>
      </c>
      <c r="E49" s="94" t="s">
        <v>30</v>
      </c>
      <c r="F49" s="94" t="s">
        <v>31</v>
      </c>
    </row>
    <row r="50" spans="1:6" x14ac:dyDescent="0.25">
      <c r="A50" s="92">
        <v>47</v>
      </c>
      <c r="B50" s="92">
        <v>80156</v>
      </c>
      <c r="C50" s="93" t="s">
        <v>78</v>
      </c>
      <c r="D50" s="94" t="s">
        <v>29</v>
      </c>
      <c r="E50" s="94" t="s">
        <v>30</v>
      </c>
      <c r="F50" s="94" t="s">
        <v>31</v>
      </c>
    </row>
    <row r="51" spans="1:6" x14ac:dyDescent="0.25">
      <c r="A51" s="92">
        <v>48</v>
      </c>
      <c r="B51" s="92">
        <v>80157</v>
      </c>
      <c r="C51" s="93" t="s">
        <v>79</v>
      </c>
      <c r="D51" s="94" t="s">
        <v>29</v>
      </c>
      <c r="E51" s="94" t="s">
        <v>30</v>
      </c>
      <c r="F51" s="94" t="s">
        <v>31</v>
      </c>
    </row>
    <row r="52" spans="1:6" x14ac:dyDescent="0.25">
      <c r="A52" s="92">
        <v>49</v>
      </c>
      <c r="B52" s="92">
        <v>80158</v>
      </c>
      <c r="C52" s="93" t="s">
        <v>80</v>
      </c>
      <c r="D52" s="94" t="s">
        <v>29</v>
      </c>
      <c r="E52" s="94" t="s">
        <v>30</v>
      </c>
      <c r="F52" s="94" t="s">
        <v>31</v>
      </c>
    </row>
    <row r="53" spans="1:6" x14ac:dyDescent="0.25">
      <c r="A53" s="92">
        <v>50</v>
      </c>
      <c r="B53" s="92">
        <v>80159</v>
      </c>
      <c r="C53" s="93" t="s">
        <v>81</v>
      </c>
      <c r="D53" s="94" t="s">
        <v>29</v>
      </c>
      <c r="E53" s="94" t="s">
        <v>30</v>
      </c>
      <c r="F53" s="94" t="s">
        <v>31</v>
      </c>
    </row>
    <row r="54" spans="1:6" x14ac:dyDescent="0.25">
      <c r="A54" s="95">
        <v>51</v>
      </c>
      <c r="B54" s="95">
        <v>80160</v>
      </c>
      <c r="C54" s="96" t="s">
        <v>82</v>
      </c>
      <c r="D54" s="97" t="s">
        <v>29</v>
      </c>
      <c r="E54" s="97" t="s">
        <v>30</v>
      </c>
      <c r="F54" s="94" t="s">
        <v>31</v>
      </c>
    </row>
    <row r="55" spans="1:6" x14ac:dyDescent="0.25">
      <c r="A55" s="92">
        <v>52</v>
      </c>
      <c r="B55" s="92">
        <v>80161</v>
      </c>
      <c r="C55" s="93" t="s">
        <v>83</v>
      </c>
      <c r="D55" s="94" t="s">
        <v>29</v>
      </c>
      <c r="E55" s="94" t="s">
        <v>30</v>
      </c>
      <c r="F55" s="94" t="s">
        <v>31</v>
      </c>
    </row>
    <row r="56" spans="1:6" x14ac:dyDescent="0.25">
      <c r="A56" s="92">
        <v>53</v>
      </c>
      <c r="B56" s="92">
        <v>80162</v>
      </c>
      <c r="C56" s="93" t="s">
        <v>84</v>
      </c>
      <c r="D56" s="94" t="s">
        <v>29</v>
      </c>
      <c r="E56" s="94" t="s">
        <v>30</v>
      </c>
      <c r="F56" s="94" t="s">
        <v>31</v>
      </c>
    </row>
    <row r="57" spans="1:6" x14ac:dyDescent="0.25">
      <c r="A57" s="95">
        <v>54</v>
      </c>
      <c r="B57" s="95">
        <v>80164</v>
      </c>
      <c r="C57" s="96" t="s">
        <v>85</v>
      </c>
      <c r="D57" s="97" t="s">
        <v>29</v>
      </c>
      <c r="E57" s="97" t="s">
        <v>30</v>
      </c>
      <c r="F57" s="94" t="s">
        <v>31</v>
      </c>
    </row>
    <row r="58" spans="1:6" x14ac:dyDescent="0.25">
      <c r="A58" s="92">
        <v>55</v>
      </c>
      <c r="B58" s="92">
        <v>80169</v>
      </c>
      <c r="C58" s="93" t="s">
        <v>86</v>
      </c>
      <c r="D58" s="94" t="s">
        <v>29</v>
      </c>
      <c r="E58" s="94" t="s">
        <v>30</v>
      </c>
      <c r="F58" s="94" t="s">
        <v>31</v>
      </c>
    </row>
    <row r="59" spans="1:6" x14ac:dyDescent="0.25">
      <c r="A59" s="92">
        <v>56</v>
      </c>
      <c r="B59" s="92">
        <v>80170</v>
      </c>
      <c r="C59" s="93" t="s">
        <v>87</v>
      </c>
      <c r="D59" s="94" t="s">
        <v>29</v>
      </c>
      <c r="E59" s="94" t="s">
        <v>30</v>
      </c>
      <c r="F59" s="94" t="s">
        <v>31</v>
      </c>
    </row>
    <row r="60" spans="1:6" x14ac:dyDescent="0.25">
      <c r="A60" s="92">
        <v>57</v>
      </c>
      <c r="B60" s="92">
        <v>80171</v>
      </c>
      <c r="C60" s="93" t="s">
        <v>88</v>
      </c>
      <c r="D60" s="94" t="s">
        <v>29</v>
      </c>
      <c r="E60" s="94" t="s">
        <v>30</v>
      </c>
      <c r="F60" s="94" t="s">
        <v>31</v>
      </c>
    </row>
    <row r="61" spans="1:6" x14ac:dyDescent="0.25">
      <c r="A61" s="92">
        <v>58</v>
      </c>
      <c r="B61" s="92">
        <v>80172</v>
      </c>
      <c r="C61" s="93" t="s">
        <v>89</v>
      </c>
      <c r="D61" s="94" t="s">
        <v>29</v>
      </c>
      <c r="E61" s="94" t="s">
        <v>30</v>
      </c>
      <c r="F61" s="94" t="s">
        <v>31</v>
      </c>
    </row>
    <row r="62" spans="1:6" x14ac:dyDescent="0.25">
      <c r="A62" s="92">
        <v>59</v>
      </c>
      <c r="B62" s="92">
        <v>80173</v>
      </c>
      <c r="C62" s="93" t="s">
        <v>90</v>
      </c>
      <c r="D62" s="94" t="s">
        <v>29</v>
      </c>
      <c r="E62" s="94" t="s">
        <v>30</v>
      </c>
      <c r="F62" s="94" t="s">
        <v>31</v>
      </c>
    </row>
    <row r="63" spans="1:6" x14ac:dyDescent="0.25">
      <c r="A63" s="95">
        <v>60</v>
      </c>
      <c r="B63" s="95">
        <v>80175</v>
      </c>
      <c r="C63" s="96" t="s">
        <v>91</v>
      </c>
      <c r="D63" s="97" t="s">
        <v>29</v>
      </c>
      <c r="E63" s="97" t="s">
        <v>30</v>
      </c>
      <c r="F63" s="94" t="s">
        <v>31</v>
      </c>
    </row>
    <row r="64" spans="1:6" x14ac:dyDescent="0.25">
      <c r="A64" s="95">
        <v>61</v>
      </c>
      <c r="B64" s="95">
        <v>80177</v>
      </c>
      <c r="C64" s="96" t="s">
        <v>92</v>
      </c>
      <c r="D64" s="97" t="s">
        <v>29</v>
      </c>
      <c r="E64" s="97" t="s">
        <v>30</v>
      </c>
      <c r="F64" s="94" t="s">
        <v>31</v>
      </c>
    </row>
    <row r="65" spans="1:6" x14ac:dyDescent="0.25">
      <c r="A65" s="92">
        <v>62</v>
      </c>
      <c r="B65" s="98">
        <v>80180</v>
      </c>
      <c r="C65" s="93" t="s">
        <v>93</v>
      </c>
      <c r="D65" s="94" t="s">
        <v>29</v>
      </c>
      <c r="E65" s="94" t="s">
        <v>30</v>
      </c>
      <c r="F65" s="94" t="s">
        <v>31</v>
      </c>
    </row>
    <row r="66" spans="1:6" x14ac:dyDescent="0.25">
      <c r="A66" s="95">
        <v>63</v>
      </c>
      <c r="B66" s="95">
        <v>80181</v>
      </c>
      <c r="C66" s="96" t="s">
        <v>94</v>
      </c>
      <c r="D66" s="97" t="s">
        <v>29</v>
      </c>
      <c r="E66" s="97" t="s">
        <v>30</v>
      </c>
      <c r="F66" s="94" t="s">
        <v>31</v>
      </c>
    </row>
    <row r="67" spans="1:6" x14ac:dyDescent="0.25">
      <c r="A67" s="92">
        <v>64</v>
      </c>
      <c r="B67" s="92">
        <v>80182</v>
      </c>
      <c r="C67" s="93" t="s">
        <v>95</v>
      </c>
      <c r="D67" s="94" t="s">
        <v>29</v>
      </c>
      <c r="E67" s="94" t="s">
        <v>30</v>
      </c>
      <c r="F67" s="94" t="s">
        <v>31</v>
      </c>
    </row>
    <row r="68" spans="1:6" x14ac:dyDescent="0.25">
      <c r="A68" s="92">
        <v>65</v>
      </c>
      <c r="B68" s="92">
        <v>80183</v>
      </c>
      <c r="C68" s="93" t="s">
        <v>96</v>
      </c>
      <c r="D68" s="94" t="s">
        <v>29</v>
      </c>
      <c r="E68" s="94" t="s">
        <v>30</v>
      </c>
      <c r="F68" s="94" t="s">
        <v>31</v>
      </c>
    </row>
    <row r="69" spans="1:6" x14ac:dyDescent="0.25">
      <c r="A69" s="92">
        <v>66</v>
      </c>
      <c r="B69" s="92">
        <v>80184</v>
      </c>
      <c r="C69" s="93" t="s">
        <v>97</v>
      </c>
      <c r="D69" s="94" t="s">
        <v>29</v>
      </c>
      <c r="E69" s="94" t="s">
        <v>30</v>
      </c>
      <c r="F69" s="94" t="s">
        <v>31</v>
      </c>
    </row>
    <row r="70" spans="1:6" x14ac:dyDescent="0.25">
      <c r="A70" s="92">
        <v>67</v>
      </c>
      <c r="B70" s="98">
        <v>80185</v>
      </c>
      <c r="C70" s="93" t="s">
        <v>98</v>
      </c>
      <c r="D70" s="94" t="s">
        <v>29</v>
      </c>
      <c r="E70" s="94" t="s">
        <v>30</v>
      </c>
      <c r="F70" s="94" t="s">
        <v>31</v>
      </c>
    </row>
    <row r="71" spans="1:6" x14ac:dyDescent="0.25">
      <c r="A71" s="92">
        <v>68</v>
      </c>
      <c r="B71" s="92">
        <v>80186</v>
      </c>
      <c r="C71" s="93" t="s">
        <v>99</v>
      </c>
      <c r="D71" s="94" t="s">
        <v>29</v>
      </c>
      <c r="E71" s="94" t="s">
        <v>30</v>
      </c>
      <c r="F71" s="94" t="s">
        <v>31</v>
      </c>
    </row>
    <row r="72" spans="1:6" x14ac:dyDescent="0.25">
      <c r="A72" s="92">
        <v>69</v>
      </c>
      <c r="B72" s="92">
        <v>80187</v>
      </c>
      <c r="C72" s="93" t="s">
        <v>100</v>
      </c>
      <c r="D72" s="94" t="s">
        <v>29</v>
      </c>
      <c r="E72" s="94" t="s">
        <v>30</v>
      </c>
      <c r="F72" s="94" t="s">
        <v>31</v>
      </c>
    </row>
    <row r="73" spans="1:6" x14ac:dyDescent="0.25">
      <c r="A73" s="92">
        <v>70</v>
      </c>
      <c r="B73" s="92">
        <v>80188</v>
      </c>
      <c r="C73" s="93" t="s">
        <v>101</v>
      </c>
      <c r="D73" s="94" t="s">
        <v>29</v>
      </c>
      <c r="E73" s="94" t="s">
        <v>30</v>
      </c>
      <c r="F73" s="94" t="s">
        <v>31</v>
      </c>
    </row>
    <row r="74" spans="1:6" x14ac:dyDescent="0.25">
      <c r="A74" s="92">
        <v>71</v>
      </c>
      <c r="B74" s="92">
        <v>80189</v>
      </c>
      <c r="C74" s="93" t="s">
        <v>102</v>
      </c>
      <c r="D74" s="94" t="s">
        <v>29</v>
      </c>
      <c r="E74" s="94" t="s">
        <v>30</v>
      </c>
      <c r="F74" s="94" t="s">
        <v>31</v>
      </c>
    </row>
    <row r="75" spans="1:6" x14ac:dyDescent="0.25">
      <c r="A75" s="92">
        <v>72</v>
      </c>
      <c r="B75" s="92">
        <v>80190</v>
      </c>
      <c r="C75" s="93" t="s">
        <v>103</v>
      </c>
      <c r="D75" s="94" t="s">
        <v>29</v>
      </c>
      <c r="E75" s="94" t="s">
        <v>30</v>
      </c>
      <c r="F75" s="94" t="s">
        <v>31</v>
      </c>
    </row>
    <row r="76" spans="1:6" x14ac:dyDescent="0.25">
      <c r="A76" s="92">
        <v>73</v>
      </c>
      <c r="B76" s="92">
        <v>80191</v>
      </c>
      <c r="C76" s="93" t="s">
        <v>104</v>
      </c>
      <c r="D76" s="94" t="s">
        <v>29</v>
      </c>
      <c r="E76" s="94" t="s">
        <v>30</v>
      </c>
      <c r="F76" s="94" t="s">
        <v>31</v>
      </c>
    </row>
    <row r="77" spans="1:6" x14ac:dyDescent="0.25">
      <c r="A77" s="92">
        <v>74</v>
      </c>
      <c r="B77" s="98">
        <v>80194</v>
      </c>
      <c r="C77" s="93" t="s">
        <v>105</v>
      </c>
      <c r="D77" s="94" t="s">
        <v>29</v>
      </c>
      <c r="E77" s="94" t="s">
        <v>30</v>
      </c>
      <c r="F77" s="94" t="s">
        <v>31</v>
      </c>
    </row>
    <row r="78" spans="1:6" x14ac:dyDescent="0.25">
      <c r="A78" s="92">
        <v>75</v>
      </c>
      <c r="B78" s="98">
        <v>80219</v>
      </c>
      <c r="C78" s="93" t="s">
        <v>106</v>
      </c>
      <c r="D78" s="94" t="s">
        <v>29</v>
      </c>
      <c r="E78" s="94" t="s">
        <v>30</v>
      </c>
      <c r="F78" s="94" t="s">
        <v>31</v>
      </c>
    </row>
    <row r="79" spans="1:6" x14ac:dyDescent="0.25">
      <c r="A79" s="95">
        <v>76</v>
      </c>
      <c r="B79" s="99"/>
      <c r="C79" s="96" t="s">
        <v>107</v>
      </c>
      <c r="D79" s="97" t="s">
        <v>29</v>
      </c>
      <c r="E79" s="97" t="s">
        <v>30</v>
      </c>
      <c r="F79" s="94" t="s">
        <v>31</v>
      </c>
    </row>
    <row r="80" spans="1:6" x14ac:dyDescent="0.25">
      <c r="A80" s="92">
        <v>77</v>
      </c>
      <c r="B80" s="98">
        <v>80220</v>
      </c>
      <c r="C80" s="93" t="s">
        <v>108</v>
      </c>
      <c r="D80" s="94" t="s">
        <v>29</v>
      </c>
      <c r="E80" s="94" t="s">
        <v>30</v>
      </c>
      <c r="F80" s="94" t="s">
        <v>31</v>
      </c>
    </row>
    <row r="81" spans="1:6" x14ac:dyDescent="0.25">
      <c r="A81" s="95">
        <v>78</v>
      </c>
      <c r="B81" s="95"/>
      <c r="C81" s="100" t="s">
        <v>109</v>
      </c>
      <c r="D81" s="97" t="s">
        <v>29</v>
      </c>
      <c r="E81" s="97" t="s">
        <v>30</v>
      </c>
      <c r="F81" s="94" t="s">
        <v>31</v>
      </c>
    </row>
    <row r="82" spans="1:6" x14ac:dyDescent="0.25">
      <c r="A82" s="92">
        <v>79</v>
      </c>
      <c r="B82" s="92">
        <v>80221</v>
      </c>
      <c r="C82" s="93" t="s">
        <v>110</v>
      </c>
      <c r="D82" s="94" t="s">
        <v>29</v>
      </c>
      <c r="E82" s="94" t="s">
        <v>30</v>
      </c>
      <c r="F82" s="94" t="s">
        <v>31</v>
      </c>
    </row>
    <row r="83" spans="1:6" x14ac:dyDescent="0.25">
      <c r="A83" s="92">
        <v>80</v>
      </c>
      <c r="B83" s="92">
        <v>80222</v>
      </c>
      <c r="C83" s="93" t="s">
        <v>111</v>
      </c>
      <c r="D83" s="94" t="s">
        <v>29</v>
      </c>
      <c r="E83" s="94" t="s">
        <v>30</v>
      </c>
      <c r="F83" s="94" t="s">
        <v>31</v>
      </c>
    </row>
    <row r="84" spans="1:6" x14ac:dyDescent="0.25">
      <c r="A84" s="92">
        <v>81</v>
      </c>
      <c r="B84" s="92">
        <v>80223</v>
      </c>
      <c r="C84" s="93" t="s">
        <v>112</v>
      </c>
      <c r="D84" s="94" t="s">
        <v>29</v>
      </c>
      <c r="E84" s="94" t="s">
        <v>30</v>
      </c>
      <c r="F84" s="94" t="s">
        <v>31</v>
      </c>
    </row>
    <row r="85" spans="1:6" x14ac:dyDescent="0.25">
      <c r="A85" s="92">
        <v>82</v>
      </c>
      <c r="B85" s="92">
        <v>80224</v>
      </c>
      <c r="C85" s="93" t="s">
        <v>113</v>
      </c>
      <c r="D85" s="94" t="s">
        <v>29</v>
      </c>
      <c r="E85" s="94" t="s">
        <v>30</v>
      </c>
      <c r="F85" s="94" t="s">
        <v>31</v>
      </c>
    </row>
    <row r="86" spans="1:6" x14ac:dyDescent="0.25">
      <c r="A86" s="92">
        <v>83</v>
      </c>
      <c r="B86" s="92">
        <v>80225</v>
      </c>
      <c r="C86" s="93" t="s">
        <v>114</v>
      </c>
      <c r="D86" s="94" t="s">
        <v>29</v>
      </c>
      <c r="E86" s="94" t="s">
        <v>30</v>
      </c>
      <c r="F86" s="94" t="s">
        <v>31</v>
      </c>
    </row>
    <row r="87" spans="1:6" x14ac:dyDescent="0.25">
      <c r="A87" s="92">
        <v>84</v>
      </c>
      <c r="B87" s="92">
        <v>80226</v>
      </c>
      <c r="C87" s="93" t="s">
        <v>115</v>
      </c>
      <c r="D87" s="94" t="s">
        <v>29</v>
      </c>
      <c r="E87" s="94" t="s">
        <v>30</v>
      </c>
      <c r="F87" s="94" t="s">
        <v>31</v>
      </c>
    </row>
    <row r="88" spans="1:6" x14ac:dyDescent="0.25">
      <c r="A88" s="92">
        <v>85</v>
      </c>
      <c r="B88" s="92">
        <v>80227</v>
      </c>
      <c r="C88" s="93" t="s">
        <v>116</v>
      </c>
      <c r="D88" s="94" t="s">
        <v>29</v>
      </c>
      <c r="E88" s="94" t="s">
        <v>30</v>
      </c>
      <c r="F88" s="94" t="s">
        <v>31</v>
      </c>
    </row>
    <row r="89" spans="1:6" x14ac:dyDescent="0.25">
      <c r="A89" s="92">
        <v>86</v>
      </c>
      <c r="B89" s="92"/>
      <c r="C89" s="93" t="s">
        <v>179</v>
      </c>
      <c r="D89" s="94" t="s">
        <v>29</v>
      </c>
      <c r="E89" s="94" t="s">
        <v>30</v>
      </c>
      <c r="F89" s="94" t="s">
        <v>31</v>
      </c>
    </row>
    <row r="90" spans="1:6" x14ac:dyDescent="0.25">
      <c r="A90" s="92">
        <v>87</v>
      </c>
      <c r="B90" s="92">
        <v>80228</v>
      </c>
      <c r="C90" s="93" t="s">
        <v>117</v>
      </c>
      <c r="D90" s="94" t="s">
        <v>29</v>
      </c>
      <c r="E90" s="94" t="s">
        <v>30</v>
      </c>
      <c r="F90" s="94" t="s">
        <v>31</v>
      </c>
    </row>
    <row r="91" spans="1:6" x14ac:dyDescent="0.25">
      <c r="A91" s="92">
        <v>88</v>
      </c>
      <c r="B91" s="92"/>
      <c r="C91" s="93" t="s">
        <v>180</v>
      </c>
      <c r="D91" s="94" t="s">
        <v>29</v>
      </c>
      <c r="E91" s="94" t="s">
        <v>30</v>
      </c>
      <c r="F91" s="94" t="s">
        <v>31</v>
      </c>
    </row>
    <row r="92" spans="1:6" x14ac:dyDescent="0.25">
      <c r="A92" s="92">
        <v>89</v>
      </c>
      <c r="B92" s="92">
        <v>80241</v>
      </c>
      <c r="C92" s="93" t="s">
        <v>118</v>
      </c>
      <c r="D92" s="94" t="s">
        <v>29</v>
      </c>
      <c r="E92" s="94" t="s">
        <v>30</v>
      </c>
      <c r="F92" s="94" t="s">
        <v>31</v>
      </c>
    </row>
    <row r="93" spans="1:6" x14ac:dyDescent="0.25">
      <c r="A93" s="92">
        <v>90</v>
      </c>
      <c r="B93" s="92" t="s">
        <v>181</v>
      </c>
      <c r="C93" s="93" t="s">
        <v>182</v>
      </c>
      <c r="D93" s="94" t="s">
        <v>29</v>
      </c>
      <c r="E93" s="94" t="s">
        <v>30</v>
      </c>
      <c r="F93" s="94" t="s">
        <v>31</v>
      </c>
    </row>
    <row r="94" spans="1:6" x14ac:dyDescent="0.25">
      <c r="A94" s="92">
        <v>91</v>
      </c>
      <c r="B94" s="92" t="s">
        <v>181</v>
      </c>
      <c r="C94" s="93" t="s">
        <v>183</v>
      </c>
      <c r="D94" s="94" t="s">
        <v>29</v>
      </c>
      <c r="E94" s="94" t="s">
        <v>30</v>
      </c>
      <c r="F94" s="94" t="s">
        <v>31</v>
      </c>
    </row>
    <row r="95" spans="1:6" x14ac:dyDescent="0.25">
      <c r="A95" s="92">
        <v>92</v>
      </c>
      <c r="B95" s="92" t="s">
        <v>181</v>
      </c>
      <c r="C95" s="93" t="s">
        <v>184</v>
      </c>
      <c r="D95" s="94" t="s">
        <v>29</v>
      </c>
      <c r="E95" s="94" t="s">
        <v>30</v>
      </c>
      <c r="F95" s="94" t="s">
        <v>31</v>
      </c>
    </row>
    <row r="96" spans="1:6" x14ac:dyDescent="0.25">
      <c r="A96" s="92">
        <v>93</v>
      </c>
      <c r="B96" s="92" t="s">
        <v>181</v>
      </c>
      <c r="C96" s="93" t="s">
        <v>185</v>
      </c>
      <c r="D96" s="94" t="s">
        <v>29</v>
      </c>
      <c r="E96" s="94" t="s">
        <v>30</v>
      </c>
      <c r="F96" s="94" t="s">
        <v>31</v>
      </c>
    </row>
    <row r="97" spans="1:6" x14ac:dyDescent="0.25">
      <c r="A97" s="92">
        <v>94</v>
      </c>
      <c r="B97" s="92" t="s">
        <v>181</v>
      </c>
      <c r="C97" s="93" t="s">
        <v>186</v>
      </c>
      <c r="D97" s="94" t="s">
        <v>29</v>
      </c>
      <c r="E97" s="94" t="s">
        <v>30</v>
      </c>
      <c r="F97" s="94" t="s">
        <v>31</v>
      </c>
    </row>
    <row r="98" spans="1:6" x14ac:dyDescent="0.25">
      <c r="A98" s="92">
        <v>95</v>
      </c>
      <c r="B98" s="101">
        <v>80264</v>
      </c>
      <c r="C98" s="93" t="s">
        <v>187</v>
      </c>
      <c r="D98" s="94" t="s">
        <v>29</v>
      </c>
      <c r="E98" s="94" t="s">
        <v>30</v>
      </c>
      <c r="F98" s="94" t="s">
        <v>31</v>
      </c>
    </row>
    <row r="99" spans="1:6" x14ac:dyDescent="0.25">
      <c r="A99" s="92">
        <v>96</v>
      </c>
      <c r="B99" s="101">
        <v>80266</v>
      </c>
      <c r="C99" s="93" t="s">
        <v>188</v>
      </c>
      <c r="D99" s="94" t="s">
        <v>29</v>
      </c>
      <c r="E99" s="94" t="s">
        <v>30</v>
      </c>
      <c r="F99" s="94" t="s">
        <v>31</v>
      </c>
    </row>
    <row r="100" spans="1:6" x14ac:dyDescent="0.25">
      <c r="A100" s="92">
        <v>97</v>
      </c>
      <c r="B100" s="101">
        <v>80265</v>
      </c>
      <c r="C100" s="93" t="s">
        <v>189</v>
      </c>
      <c r="D100" s="94" t="s">
        <v>29</v>
      </c>
      <c r="E100" s="94" t="s">
        <v>30</v>
      </c>
      <c r="F100" s="94" t="s">
        <v>31</v>
      </c>
    </row>
    <row r="101" spans="1:6" x14ac:dyDescent="0.25">
      <c r="A101" s="92">
        <v>98</v>
      </c>
      <c r="B101" s="101">
        <v>80267</v>
      </c>
      <c r="C101" s="93" t="s">
        <v>190</v>
      </c>
      <c r="D101" s="94" t="s">
        <v>29</v>
      </c>
      <c r="E101" s="94" t="s">
        <v>30</v>
      </c>
      <c r="F101" s="94" t="s">
        <v>31</v>
      </c>
    </row>
    <row r="102" spans="1:6" x14ac:dyDescent="0.25">
      <c r="A102" s="92">
        <v>99</v>
      </c>
      <c r="B102" s="92" t="s">
        <v>181</v>
      </c>
      <c r="C102" s="93" t="s">
        <v>191</v>
      </c>
      <c r="D102" s="94" t="s">
        <v>29</v>
      </c>
      <c r="E102" s="94" t="s">
        <v>30</v>
      </c>
      <c r="F102" s="94" t="s">
        <v>31</v>
      </c>
    </row>
    <row r="103" spans="1:6" x14ac:dyDescent="0.25">
      <c r="A103" s="92">
        <v>100</v>
      </c>
      <c r="B103" s="92" t="s">
        <v>181</v>
      </c>
      <c r="C103" s="93" t="s">
        <v>192</v>
      </c>
      <c r="D103" s="94" t="s">
        <v>29</v>
      </c>
      <c r="E103" s="94" t="s">
        <v>30</v>
      </c>
      <c r="F103" s="94" t="s">
        <v>31</v>
      </c>
    </row>
    <row r="104" spans="1:6" x14ac:dyDescent="0.25">
      <c r="A104" s="92">
        <v>101</v>
      </c>
      <c r="B104" s="101">
        <v>80262</v>
      </c>
      <c r="C104" s="93" t="s">
        <v>193</v>
      </c>
      <c r="D104" s="94" t="s">
        <v>29</v>
      </c>
      <c r="E104" s="94" t="s">
        <v>30</v>
      </c>
      <c r="F104" s="94" t="s">
        <v>31</v>
      </c>
    </row>
    <row r="105" spans="1:6" x14ac:dyDescent="0.25">
      <c r="A105" s="92">
        <v>102</v>
      </c>
      <c r="B105" s="92" t="s">
        <v>181</v>
      </c>
      <c r="C105" s="93" t="s">
        <v>194</v>
      </c>
      <c r="D105" s="94" t="s">
        <v>29</v>
      </c>
      <c r="E105" s="94" t="s">
        <v>30</v>
      </c>
      <c r="F105" s="94" t="s">
        <v>31</v>
      </c>
    </row>
    <row r="106" spans="1:6" x14ac:dyDescent="0.25">
      <c r="A106" s="92">
        <v>103</v>
      </c>
      <c r="B106" s="92" t="s">
        <v>181</v>
      </c>
      <c r="C106" s="93" t="s">
        <v>195</v>
      </c>
      <c r="D106" s="94" t="s">
        <v>29</v>
      </c>
      <c r="E106" s="94" t="s">
        <v>30</v>
      </c>
      <c r="F106" s="94" t="s">
        <v>31</v>
      </c>
    </row>
    <row r="107" spans="1:6" x14ac:dyDescent="0.25">
      <c r="A107" s="92">
        <v>104</v>
      </c>
      <c r="B107" s="92" t="s">
        <v>181</v>
      </c>
      <c r="C107" s="93" t="s">
        <v>196</v>
      </c>
      <c r="D107" s="94" t="s">
        <v>29</v>
      </c>
      <c r="E107" s="94" t="s">
        <v>30</v>
      </c>
      <c r="F107" s="94" t="s">
        <v>31</v>
      </c>
    </row>
    <row r="108" spans="1:6" x14ac:dyDescent="0.25">
      <c r="A108" s="92">
        <v>105</v>
      </c>
      <c r="B108" s="92" t="s">
        <v>181</v>
      </c>
      <c r="C108" s="93" t="s">
        <v>197</v>
      </c>
      <c r="D108" s="94" t="s">
        <v>29</v>
      </c>
      <c r="E108" s="94" t="s">
        <v>30</v>
      </c>
      <c r="F108" s="94" t="s">
        <v>31</v>
      </c>
    </row>
    <row r="109" spans="1:6" x14ac:dyDescent="0.25">
      <c r="A109" s="92">
        <v>106</v>
      </c>
      <c r="B109" s="101">
        <v>80263</v>
      </c>
      <c r="C109" s="93" t="s">
        <v>198</v>
      </c>
      <c r="D109" s="94" t="s">
        <v>29</v>
      </c>
      <c r="E109" s="94" t="s">
        <v>30</v>
      </c>
      <c r="F109" s="94" t="s">
        <v>31</v>
      </c>
    </row>
    <row r="110" spans="1:6" x14ac:dyDescent="0.25">
      <c r="A110" s="92">
        <v>107</v>
      </c>
      <c r="B110" s="92" t="s">
        <v>181</v>
      </c>
      <c r="C110" s="93" t="s">
        <v>199</v>
      </c>
      <c r="D110" s="94" t="s">
        <v>29</v>
      </c>
      <c r="E110" s="94" t="s">
        <v>30</v>
      </c>
      <c r="F110" s="94" t="s">
        <v>31</v>
      </c>
    </row>
    <row r="111" spans="1:6" x14ac:dyDescent="0.25">
      <c r="A111" s="92">
        <v>108</v>
      </c>
      <c r="B111" s="101">
        <v>80275</v>
      </c>
      <c r="C111" s="93" t="s">
        <v>200</v>
      </c>
      <c r="D111" s="94" t="s">
        <v>29</v>
      </c>
      <c r="E111" s="94" t="s">
        <v>30</v>
      </c>
      <c r="F111" s="94" t="s">
        <v>31</v>
      </c>
    </row>
    <row r="112" spans="1:6" x14ac:dyDescent="0.25">
      <c r="A112" s="92">
        <v>109</v>
      </c>
      <c r="B112" s="101">
        <v>80276</v>
      </c>
      <c r="C112" s="93" t="s">
        <v>201</v>
      </c>
      <c r="D112" s="94" t="s">
        <v>29</v>
      </c>
      <c r="E112" s="94" t="s">
        <v>30</v>
      </c>
      <c r="F112" s="94" t="s">
        <v>31</v>
      </c>
    </row>
    <row r="113" spans="1:6" x14ac:dyDescent="0.25">
      <c r="A113" s="92">
        <v>110</v>
      </c>
      <c r="B113" s="101">
        <v>80280</v>
      </c>
      <c r="C113" s="93" t="s">
        <v>202</v>
      </c>
      <c r="D113" s="94" t="s">
        <v>29</v>
      </c>
      <c r="E113" s="94" t="s">
        <v>30</v>
      </c>
      <c r="F113" s="94" t="s">
        <v>31</v>
      </c>
    </row>
    <row r="114" spans="1:6" x14ac:dyDescent="0.25">
      <c r="A114" s="92">
        <v>111</v>
      </c>
      <c r="B114" s="101">
        <v>80279</v>
      </c>
      <c r="C114" s="93" t="s">
        <v>203</v>
      </c>
      <c r="D114" s="94" t="s">
        <v>29</v>
      </c>
      <c r="E114" s="94" t="s">
        <v>30</v>
      </c>
      <c r="F114" s="94" t="s">
        <v>31</v>
      </c>
    </row>
    <row r="115" spans="1:6" x14ac:dyDescent="0.25">
      <c r="A115" s="92">
        <v>112</v>
      </c>
      <c r="B115" s="101">
        <v>80277</v>
      </c>
      <c r="C115" s="93" t="s">
        <v>204</v>
      </c>
      <c r="D115" s="94" t="s">
        <v>29</v>
      </c>
      <c r="E115" s="94" t="s">
        <v>30</v>
      </c>
      <c r="F115" s="94" t="s">
        <v>31</v>
      </c>
    </row>
    <row r="116" spans="1:6" x14ac:dyDescent="0.25">
      <c r="A116" s="92">
        <v>113</v>
      </c>
      <c r="B116" s="101">
        <v>80281</v>
      </c>
      <c r="C116" s="93" t="s">
        <v>205</v>
      </c>
      <c r="D116" s="94" t="s">
        <v>29</v>
      </c>
      <c r="E116" s="94" t="s">
        <v>30</v>
      </c>
      <c r="F116" s="94" t="s">
        <v>31</v>
      </c>
    </row>
    <row r="117" spans="1:6" x14ac:dyDescent="0.25">
      <c r="A117" s="92">
        <v>114</v>
      </c>
      <c r="B117" s="101">
        <v>80278</v>
      </c>
      <c r="C117" s="93" t="s">
        <v>206</v>
      </c>
      <c r="D117" s="94" t="s">
        <v>29</v>
      </c>
      <c r="E117" s="94" t="s">
        <v>30</v>
      </c>
      <c r="F117" s="94" t="s">
        <v>31</v>
      </c>
    </row>
    <row r="118" spans="1:6" x14ac:dyDescent="0.25">
      <c r="A118" s="92">
        <v>115</v>
      </c>
      <c r="B118" s="92" t="s">
        <v>181</v>
      </c>
      <c r="C118" s="93" t="s">
        <v>207</v>
      </c>
      <c r="D118" s="94" t="s">
        <v>29</v>
      </c>
      <c r="E118" s="94" t="s">
        <v>30</v>
      </c>
      <c r="F118" s="94" t="s">
        <v>31</v>
      </c>
    </row>
    <row r="119" spans="1:6" x14ac:dyDescent="0.25">
      <c r="A119" s="92">
        <v>116</v>
      </c>
      <c r="B119" s="92" t="s">
        <v>181</v>
      </c>
      <c r="C119" s="93" t="s">
        <v>208</v>
      </c>
      <c r="D119" s="94" t="s">
        <v>29</v>
      </c>
      <c r="E119" s="94" t="s">
        <v>30</v>
      </c>
      <c r="F119" s="94" t="s">
        <v>31</v>
      </c>
    </row>
    <row r="120" spans="1:6" x14ac:dyDescent="0.25">
      <c r="A120" s="92">
        <v>117</v>
      </c>
      <c r="B120" s="92" t="s">
        <v>181</v>
      </c>
      <c r="C120" s="93" t="s">
        <v>209</v>
      </c>
      <c r="D120" s="94" t="s">
        <v>29</v>
      </c>
      <c r="E120" s="94" t="s">
        <v>30</v>
      </c>
      <c r="F120" s="94" t="s">
        <v>31</v>
      </c>
    </row>
    <row r="121" spans="1:6" x14ac:dyDescent="0.25">
      <c r="A121" s="92">
        <v>118</v>
      </c>
      <c r="B121" s="92" t="s">
        <v>181</v>
      </c>
      <c r="C121" s="93" t="s">
        <v>210</v>
      </c>
      <c r="D121" s="94" t="s">
        <v>29</v>
      </c>
      <c r="E121" s="94" t="s">
        <v>30</v>
      </c>
      <c r="F121" s="94" t="s">
        <v>31</v>
      </c>
    </row>
    <row r="122" spans="1:6" x14ac:dyDescent="0.25">
      <c r="A122" s="92">
        <v>119</v>
      </c>
      <c r="B122" s="92" t="s">
        <v>181</v>
      </c>
      <c r="C122" s="93" t="s">
        <v>211</v>
      </c>
      <c r="D122" s="94" t="s">
        <v>29</v>
      </c>
      <c r="E122" s="94" t="s">
        <v>30</v>
      </c>
      <c r="F122" s="94" t="s">
        <v>31</v>
      </c>
    </row>
    <row r="123" spans="1:6" x14ac:dyDescent="0.25">
      <c r="A123" s="89">
        <v>120</v>
      </c>
      <c r="B123" s="89"/>
      <c r="C123" s="90"/>
      <c r="D123" s="89"/>
      <c r="E123" s="89"/>
      <c r="F123" s="89"/>
    </row>
    <row r="124" spans="1:6" x14ac:dyDescent="0.25">
      <c r="A124" s="43">
        <v>121</v>
      </c>
      <c r="B124" s="43"/>
      <c r="C124" s="44"/>
      <c r="D124" s="43"/>
      <c r="E124" s="43"/>
      <c r="F124" s="43"/>
    </row>
    <row r="125" spans="1:6" x14ac:dyDescent="0.25">
      <c r="A125" s="43">
        <v>122</v>
      </c>
      <c r="B125" s="43"/>
      <c r="C125" s="44"/>
      <c r="D125" s="43"/>
      <c r="E125" s="43"/>
      <c r="F125" s="43"/>
    </row>
    <row r="126" spans="1:6" x14ac:dyDescent="0.25">
      <c r="A126" s="43">
        <v>123</v>
      </c>
      <c r="B126" s="43"/>
      <c r="C126" s="44"/>
      <c r="D126" s="43"/>
      <c r="E126" s="43"/>
      <c r="F126" s="43"/>
    </row>
    <row r="127" spans="1:6" x14ac:dyDescent="0.25">
      <c r="A127" s="43">
        <v>124</v>
      </c>
      <c r="B127" s="43"/>
      <c r="C127" s="44"/>
      <c r="D127" s="43"/>
      <c r="E127" s="43"/>
      <c r="F127" s="43"/>
    </row>
    <row r="128" spans="1:6" x14ac:dyDescent="0.25">
      <c r="A128" s="43">
        <v>125</v>
      </c>
      <c r="B128" s="43"/>
      <c r="C128" s="44"/>
      <c r="D128" s="43"/>
      <c r="E128" s="43"/>
      <c r="F128" s="43"/>
    </row>
    <row r="129" spans="1:6" x14ac:dyDescent="0.25">
      <c r="A129" s="43">
        <v>126</v>
      </c>
      <c r="B129" s="43"/>
      <c r="C129" s="44"/>
      <c r="D129" s="43"/>
      <c r="E129" s="43"/>
      <c r="F129" s="43"/>
    </row>
    <row r="130" spans="1:6" x14ac:dyDescent="0.25">
      <c r="A130" s="43">
        <v>127</v>
      </c>
      <c r="B130" s="43"/>
      <c r="C130" s="44"/>
      <c r="D130" s="43"/>
      <c r="E130" s="43"/>
      <c r="F130" s="43"/>
    </row>
    <row r="131" spans="1:6" x14ac:dyDescent="0.25">
      <c r="A131" s="43">
        <v>128</v>
      </c>
      <c r="B131" s="43"/>
      <c r="C131" s="44"/>
      <c r="D131" s="43"/>
      <c r="E131" s="43"/>
      <c r="F131" s="43"/>
    </row>
    <row r="132" spans="1:6" x14ac:dyDescent="0.25">
      <c r="A132" s="43">
        <v>129</v>
      </c>
      <c r="B132" s="43"/>
      <c r="C132" s="44"/>
      <c r="D132" s="43"/>
      <c r="E132" s="43"/>
      <c r="F132" s="43"/>
    </row>
    <row r="133" spans="1:6" x14ac:dyDescent="0.25">
      <c r="A133" s="43">
        <v>130</v>
      </c>
      <c r="B133" s="43"/>
      <c r="C133" s="44"/>
      <c r="D133" s="43"/>
      <c r="E133" s="43"/>
      <c r="F133" s="43"/>
    </row>
    <row r="134" spans="1:6" x14ac:dyDescent="0.25">
      <c r="A134" s="43">
        <v>131</v>
      </c>
      <c r="B134" s="43"/>
      <c r="C134" s="44"/>
      <c r="D134" s="43"/>
      <c r="E134" s="43"/>
      <c r="F134" s="43"/>
    </row>
    <row r="135" spans="1:6" x14ac:dyDescent="0.25">
      <c r="A135" s="43">
        <v>132</v>
      </c>
      <c r="B135" s="43"/>
      <c r="C135" s="44"/>
      <c r="D135" s="43"/>
      <c r="E135" s="43"/>
      <c r="F135" s="43"/>
    </row>
    <row r="136" spans="1:6" x14ac:dyDescent="0.25">
      <c r="A136" s="43">
        <v>133</v>
      </c>
      <c r="B136" s="43"/>
      <c r="C136" s="44"/>
      <c r="D136" s="43"/>
      <c r="E136" s="43"/>
      <c r="F136" s="43"/>
    </row>
    <row r="137" spans="1:6" x14ac:dyDescent="0.25">
      <c r="A137" s="43">
        <v>134</v>
      </c>
      <c r="B137" s="43"/>
      <c r="C137" s="44"/>
      <c r="D137" s="43"/>
      <c r="E137" s="43"/>
      <c r="F137" s="43"/>
    </row>
    <row r="138" spans="1:6" x14ac:dyDescent="0.25">
      <c r="A138" s="43">
        <v>135</v>
      </c>
      <c r="B138" s="43"/>
      <c r="C138" s="44"/>
      <c r="D138" s="43"/>
      <c r="E138" s="43"/>
      <c r="F138" s="43"/>
    </row>
    <row r="139" spans="1:6" x14ac:dyDescent="0.25">
      <c r="A139" s="43">
        <v>136</v>
      </c>
      <c r="B139" s="43"/>
      <c r="C139" s="44"/>
      <c r="D139" s="43"/>
      <c r="E139" s="43"/>
      <c r="F139" s="43"/>
    </row>
    <row r="140" spans="1:6" x14ac:dyDescent="0.25">
      <c r="A140" s="43">
        <v>137</v>
      </c>
      <c r="B140" s="43"/>
      <c r="C140" s="44"/>
      <c r="D140" s="43"/>
      <c r="E140" s="43"/>
      <c r="F140" s="43"/>
    </row>
    <row r="141" spans="1:6" x14ac:dyDescent="0.25">
      <c r="A141" s="43">
        <v>138</v>
      </c>
      <c r="B141" s="43"/>
      <c r="C141" s="44"/>
      <c r="D141" s="43"/>
      <c r="E141" s="43"/>
      <c r="F141" s="43"/>
    </row>
    <row r="142" spans="1:6" x14ac:dyDescent="0.25">
      <c r="A142" s="43">
        <v>139</v>
      </c>
      <c r="B142" s="43"/>
      <c r="C142" s="44"/>
      <c r="D142" s="43"/>
      <c r="E142" s="43"/>
      <c r="F142" s="43"/>
    </row>
    <row r="143" spans="1:6" x14ac:dyDescent="0.25">
      <c r="A143" s="43">
        <v>140</v>
      </c>
      <c r="B143" s="43"/>
      <c r="C143" s="44"/>
      <c r="D143" s="43"/>
      <c r="E143" s="43"/>
      <c r="F143" s="43"/>
    </row>
    <row r="144" spans="1:6" x14ac:dyDescent="0.25">
      <c r="A144" s="43">
        <v>141</v>
      </c>
      <c r="B144" s="43"/>
      <c r="C144" s="44"/>
      <c r="D144" s="43"/>
      <c r="E144" s="43"/>
      <c r="F144" s="43"/>
    </row>
    <row r="145" spans="1:6" x14ac:dyDescent="0.25">
      <c r="A145" s="43">
        <v>142</v>
      </c>
      <c r="B145" s="43"/>
      <c r="C145" s="44"/>
      <c r="D145" s="43"/>
      <c r="E145" s="43"/>
      <c r="F145" s="43"/>
    </row>
    <row r="146" spans="1:6" x14ac:dyDescent="0.25">
      <c r="A146" s="43">
        <v>143</v>
      </c>
      <c r="B146" s="43"/>
      <c r="C146" s="44"/>
      <c r="D146" s="43"/>
      <c r="E146" s="43"/>
      <c r="F146" s="43"/>
    </row>
    <row r="147" spans="1:6" x14ac:dyDescent="0.25">
      <c r="A147" s="43">
        <v>144</v>
      </c>
      <c r="B147" s="43"/>
      <c r="C147" s="44"/>
      <c r="D147" s="43"/>
      <c r="E147" s="43"/>
      <c r="F147" s="43"/>
    </row>
    <row r="148" spans="1:6" x14ac:dyDescent="0.25">
      <c r="A148" s="43">
        <v>145</v>
      </c>
      <c r="B148" s="43"/>
      <c r="C148" s="44"/>
      <c r="D148" s="43"/>
      <c r="E148" s="43"/>
      <c r="F148" s="43"/>
    </row>
    <row r="149" spans="1:6" x14ac:dyDescent="0.25">
      <c r="A149" s="43">
        <v>146</v>
      </c>
      <c r="B149" s="43"/>
      <c r="C149" s="44"/>
      <c r="D149" s="43"/>
      <c r="E149" s="43"/>
      <c r="F149" s="43"/>
    </row>
    <row r="150" spans="1:6" x14ac:dyDescent="0.25">
      <c r="A150" s="43">
        <v>147</v>
      </c>
      <c r="B150" s="43"/>
      <c r="C150" s="44"/>
      <c r="D150" s="43"/>
      <c r="E150" s="43"/>
      <c r="F150" s="43"/>
    </row>
    <row r="151" spans="1:6" x14ac:dyDescent="0.25">
      <c r="A151" s="43">
        <v>148</v>
      </c>
      <c r="B151" s="43"/>
      <c r="C151" s="44"/>
      <c r="D151" s="43"/>
      <c r="E151" s="43"/>
      <c r="F151" s="43"/>
    </row>
    <row r="152" spans="1:6" x14ac:dyDescent="0.25">
      <c r="A152" s="43">
        <v>149</v>
      </c>
      <c r="B152" s="43"/>
      <c r="C152" s="44"/>
      <c r="D152" s="43"/>
      <c r="E152" s="43"/>
      <c r="F152" s="43"/>
    </row>
    <row r="153" spans="1:6" x14ac:dyDescent="0.25">
      <c r="A153" s="43">
        <v>150</v>
      </c>
      <c r="B153" s="43"/>
      <c r="C153" s="44"/>
      <c r="D153" s="43"/>
      <c r="E153" s="43"/>
      <c r="F153" s="43"/>
    </row>
    <row r="154" spans="1:6" x14ac:dyDescent="0.25">
      <c r="A154" s="43">
        <v>151</v>
      </c>
      <c r="B154" s="43"/>
      <c r="C154" s="44"/>
      <c r="D154" s="43"/>
      <c r="E154" s="43"/>
      <c r="F154" s="43"/>
    </row>
    <row r="155" spans="1:6" x14ac:dyDescent="0.25">
      <c r="A155" s="43">
        <v>152</v>
      </c>
      <c r="B155" s="43"/>
      <c r="C155" s="44"/>
      <c r="D155" s="43"/>
      <c r="E155" s="43"/>
      <c r="F155" s="43"/>
    </row>
    <row r="156" spans="1:6" x14ac:dyDescent="0.25">
      <c r="A156" s="43">
        <v>153</v>
      </c>
      <c r="B156" s="43"/>
      <c r="C156" s="44"/>
      <c r="D156" s="43"/>
      <c r="E156" s="43"/>
      <c r="F156" s="43"/>
    </row>
    <row r="157" spans="1:6" x14ac:dyDescent="0.25">
      <c r="A157" s="43">
        <v>154</v>
      </c>
      <c r="B157" s="43"/>
      <c r="C157" s="44"/>
      <c r="D157" s="43"/>
      <c r="E157" s="43"/>
      <c r="F157" s="43"/>
    </row>
    <row r="158" spans="1:6" x14ac:dyDescent="0.25">
      <c r="A158" s="43">
        <v>155</v>
      </c>
      <c r="B158" s="43"/>
      <c r="C158" s="44"/>
      <c r="D158" s="43"/>
      <c r="E158" s="43"/>
      <c r="F158" s="43"/>
    </row>
    <row r="159" spans="1:6" x14ac:dyDescent="0.25">
      <c r="A159" s="43">
        <v>156</v>
      </c>
      <c r="B159" s="43"/>
      <c r="C159" s="44"/>
      <c r="D159" s="43"/>
      <c r="E159" s="43"/>
      <c r="F159" s="43"/>
    </row>
    <row r="160" spans="1:6" x14ac:dyDescent="0.25">
      <c r="A160" s="43">
        <v>157</v>
      </c>
      <c r="B160" s="43"/>
      <c r="C160" s="44"/>
      <c r="D160" s="43"/>
      <c r="E160" s="43"/>
      <c r="F160" s="43"/>
    </row>
    <row r="161" spans="1:6" x14ac:dyDescent="0.25">
      <c r="A161" s="43">
        <v>158</v>
      </c>
      <c r="B161" s="43"/>
      <c r="C161" s="44"/>
      <c r="D161" s="43"/>
      <c r="E161" s="43"/>
      <c r="F161" s="43"/>
    </row>
    <row r="162" spans="1:6" x14ac:dyDescent="0.25">
      <c r="A162" s="43">
        <v>159</v>
      </c>
      <c r="B162" s="43"/>
      <c r="C162" s="44"/>
      <c r="D162" s="43"/>
      <c r="E162" s="43"/>
      <c r="F162" s="43"/>
    </row>
    <row r="163" spans="1:6" x14ac:dyDescent="0.25">
      <c r="A163" s="43">
        <v>160</v>
      </c>
      <c r="B163" s="43"/>
      <c r="C163" s="44"/>
      <c r="D163" s="43"/>
      <c r="E163" s="43"/>
      <c r="F163" s="43"/>
    </row>
    <row r="164" spans="1:6" x14ac:dyDescent="0.25">
      <c r="A164" s="43">
        <v>161</v>
      </c>
      <c r="B164" s="43"/>
      <c r="C164" s="44"/>
      <c r="D164" s="43"/>
      <c r="E164" s="43"/>
      <c r="F164" s="43"/>
    </row>
    <row r="165" spans="1:6" x14ac:dyDescent="0.25">
      <c r="A165" s="43">
        <v>162</v>
      </c>
      <c r="B165" s="43"/>
      <c r="C165" s="44"/>
      <c r="D165" s="43"/>
      <c r="E165" s="43"/>
      <c r="F165" s="43"/>
    </row>
    <row r="166" spans="1:6" x14ac:dyDescent="0.25">
      <c r="A166" s="43">
        <v>163</v>
      </c>
      <c r="B166" s="43"/>
      <c r="C166" s="44"/>
      <c r="D166" s="43"/>
      <c r="E166" s="43"/>
      <c r="F166" s="43"/>
    </row>
    <row r="167" spans="1:6" x14ac:dyDescent="0.25">
      <c r="A167" s="43">
        <v>164</v>
      </c>
      <c r="B167" s="43"/>
      <c r="C167" s="44"/>
      <c r="D167" s="43"/>
      <c r="E167" s="43"/>
      <c r="F167" s="43"/>
    </row>
    <row r="168" spans="1:6" x14ac:dyDescent="0.25">
      <c r="A168" s="43">
        <v>165</v>
      </c>
      <c r="B168" s="43"/>
      <c r="C168" s="44"/>
      <c r="D168" s="43"/>
      <c r="E168" s="43"/>
      <c r="F168" s="43"/>
    </row>
    <row r="169" spans="1:6" x14ac:dyDescent="0.25">
      <c r="A169" s="43">
        <v>166</v>
      </c>
      <c r="B169" s="43"/>
      <c r="C169" s="44"/>
      <c r="D169" s="43"/>
      <c r="E169" s="43"/>
      <c r="F169" s="43"/>
    </row>
    <row r="170" spans="1:6" x14ac:dyDescent="0.25">
      <c r="A170" s="43"/>
      <c r="B170" s="43"/>
      <c r="C170" s="44"/>
      <c r="D170" s="43"/>
      <c r="E170" s="43"/>
      <c r="F170" s="43"/>
    </row>
    <row r="171" spans="1:6" x14ac:dyDescent="0.25">
      <c r="A171" s="43"/>
      <c r="B171" s="43"/>
      <c r="C171" s="44"/>
      <c r="D171" s="43"/>
      <c r="E171" s="43"/>
      <c r="F171" s="43"/>
    </row>
    <row r="172" spans="1:6" x14ac:dyDescent="0.25">
      <c r="A172" s="43"/>
      <c r="B172" s="43"/>
      <c r="C172" s="44"/>
      <c r="D172" s="43"/>
      <c r="E172" s="43"/>
      <c r="F172" s="43"/>
    </row>
    <row r="173" spans="1:6" x14ac:dyDescent="0.25">
      <c r="A173" s="43"/>
      <c r="B173" s="43"/>
      <c r="C173" s="44"/>
      <c r="D173" s="43"/>
      <c r="E173" s="43"/>
      <c r="F173" s="43"/>
    </row>
    <row r="174" spans="1:6" x14ac:dyDescent="0.25">
      <c r="A174" s="43"/>
      <c r="B174" s="43"/>
      <c r="C174" s="44"/>
      <c r="D174" s="43"/>
      <c r="E174" s="43"/>
      <c r="F174" s="43"/>
    </row>
    <row r="175" spans="1:6" x14ac:dyDescent="0.25">
      <c r="A175" s="43"/>
      <c r="B175" s="43"/>
      <c r="C175" s="44"/>
      <c r="D175" s="43"/>
      <c r="E175" s="43"/>
      <c r="F175" s="43"/>
    </row>
    <row r="176" spans="1:6" x14ac:dyDescent="0.25">
      <c r="A176" s="43"/>
      <c r="B176" s="43"/>
      <c r="C176" s="44"/>
      <c r="D176" s="43"/>
      <c r="E176" s="43"/>
      <c r="F176" s="43"/>
    </row>
    <row r="177" spans="1:6" x14ac:dyDescent="0.25">
      <c r="A177" s="43"/>
      <c r="B177" s="43"/>
      <c r="C177" s="44"/>
      <c r="D177" s="43"/>
      <c r="E177" s="43"/>
      <c r="F177" s="43"/>
    </row>
    <row r="178" spans="1:6" x14ac:dyDescent="0.25">
      <c r="A178" s="43"/>
      <c r="B178" s="43"/>
      <c r="C178" s="44"/>
      <c r="D178" s="43"/>
      <c r="E178" s="43"/>
      <c r="F178" s="43"/>
    </row>
    <row r="179" spans="1:6" x14ac:dyDescent="0.25">
      <c r="A179" s="43"/>
      <c r="B179" s="43"/>
      <c r="C179" s="44"/>
      <c r="D179" s="43"/>
      <c r="E179" s="43"/>
      <c r="F179" s="43"/>
    </row>
    <row r="180" spans="1:6" x14ac:dyDescent="0.25">
      <c r="A180" s="43"/>
      <c r="B180" s="43"/>
      <c r="C180" s="44"/>
      <c r="D180" s="43"/>
      <c r="E180" s="43"/>
      <c r="F180" s="43"/>
    </row>
    <row r="181" spans="1:6" x14ac:dyDescent="0.25">
      <c r="A181" s="43"/>
      <c r="B181" s="43"/>
      <c r="C181" s="44"/>
      <c r="D181" s="43"/>
      <c r="E181" s="43"/>
      <c r="F181" s="43"/>
    </row>
    <row r="182" spans="1:6" x14ac:dyDescent="0.25">
      <c r="A182" s="43"/>
      <c r="B182" s="43"/>
      <c r="C182" s="44"/>
      <c r="D182" s="43"/>
      <c r="E182" s="43"/>
      <c r="F182" s="43"/>
    </row>
    <row r="183" spans="1:6" x14ac:dyDescent="0.25">
      <c r="A183" s="43"/>
      <c r="B183" s="43"/>
      <c r="C183" s="44"/>
      <c r="D183" s="43"/>
      <c r="E183" s="43"/>
      <c r="F183" s="43"/>
    </row>
    <row r="184" spans="1:6" x14ac:dyDescent="0.25">
      <c r="A184" s="43"/>
      <c r="B184" s="43"/>
      <c r="C184" s="44"/>
      <c r="D184" s="43"/>
      <c r="E184" s="43"/>
      <c r="F184" s="43"/>
    </row>
    <row r="185" spans="1:6" x14ac:dyDescent="0.25">
      <c r="A185" s="43"/>
      <c r="B185" s="43"/>
      <c r="C185" s="44"/>
      <c r="D185" s="43"/>
      <c r="E185" s="43"/>
      <c r="F185" s="43"/>
    </row>
    <row r="186" spans="1:6" x14ac:dyDescent="0.25">
      <c r="A186" s="43"/>
      <c r="B186" s="43"/>
      <c r="C186" s="44"/>
      <c r="D186" s="43"/>
      <c r="E186" s="43"/>
      <c r="F186" s="43"/>
    </row>
    <row r="187" spans="1:6" x14ac:dyDescent="0.25">
      <c r="A187" s="43"/>
      <c r="B187" s="43"/>
      <c r="C187" s="44"/>
      <c r="D187" s="43"/>
      <c r="E187" s="43"/>
      <c r="F187" s="43"/>
    </row>
    <row r="188" spans="1:6" x14ac:dyDescent="0.25">
      <c r="A188" s="43"/>
      <c r="B188" s="43"/>
      <c r="C188" s="44"/>
      <c r="D188" s="43"/>
      <c r="E188" s="43"/>
      <c r="F188" s="43"/>
    </row>
    <row r="189" spans="1:6" x14ac:dyDescent="0.25">
      <c r="A189" s="43"/>
      <c r="B189" s="43"/>
      <c r="C189" s="44"/>
      <c r="D189" s="43"/>
      <c r="E189" s="43"/>
      <c r="F189" s="43"/>
    </row>
    <row r="190" spans="1:6" x14ac:dyDescent="0.25">
      <c r="A190" s="43"/>
      <c r="B190" s="43"/>
      <c r="C190" s="44"/>
      <c r="D190" s="43"/>
      <c r="E190" s="43"/>
      <c r="F190" s="43"/>
    </row>
    <row r="191" spans="1:6" x14ac:dyDescent="0.25">
      <c r="A191" s="43"/>
      <c r="B191" s="43"/>
      <c r="C191" s="44"/>
      <c r="D191" s="43"/>
      <c r="E191" s="43"/>
      <c r="F191" s="43"/>
    </row>
    <row r="192" spans="1:6" x14ac:dyDescent="0.25">
      <c r="A192" s="43"/>
      <c r="B192" s="43"/>
      <c r="C192" s="44"/>
      <c r="D192" s="43"/>
      <c r="E192" s="43"/>
      <c r="F192" s="43"/>
    </row>
    <row r="193" spans="1:6" x14ac:dyDescent="0.25">
      <c r="A193" s="43"/>
      <c r="B193" s="43"/>
      <c r="C193" s="44"/>
      <c r="D193" s="43"/>
      <c r="E193" s="43"/>
      <c r="F193" s="43"/>
    </row>
    <row r="194" spans="1:6" x14ac:dyDescent="0.25">
      <c r="A194" s="43"/>
      <c r="B194" s="43"/>
      <c r="C194" s="44"/>
      <c r="D194" s="43"/>
      <c r="E194" s="43"/>
      <c r="F194" s="43"/>
    </row>
    <row r="195" spans="1:6" x14ac:dyDescent="0.25">
      <c r="A195" s="43"/>
      <c r="B195" s="43"/>
      <c r="C195" s="44"/>
      <c r="D195" s="43"/>
      <c r="E195" s="43"/>
      <c r="F195" s="43"/>
    </row>
    <row r="196" spans="1:6" x14ac:dyDescent="0.25">
      <c r="A196" s="43"/>
      <c r="B196" s="43"/>
      <c r="C196" s="44"/>
      <c r="D196" s="43"/>
      <c r="E196" s="43"/>
      <c r="F196" s="43"/>
    </row>
    <row r="197" spans="1:6" x14ac:dyDescent="0.25">
      <c r="A197" s="43"/>
      <c r="B197" s="43"/>
      <c r="C197" s="44"/>
      <c r="D197" s="43"/>
      <c r="E197" s="43"/>
      <c r="F197" s="43"/>
    </row>
    <row r="198" spans="1:6" x14ac:dyDescent="0.25">
      <c r="A198" s="43"/>
      <c r="B198" s="43"/>
      <c r="C198" s="44"/>
      <c r="D198" s="43"/>
      <c r="E198" s="43"/>
      <c r="F198" s="43"/>
    </row>
    <row r="199" spans="1:6" x14ac:dyDescent="0.25">
      <c r="A199" s="43"/>
      <c r="B199" s="43"/>
      <c r="C199" s="44"/>
      <c r="D199" s="43"/>
      <c r="E199" s="43"/>
      <c r="F199" s="43"/>
    </row>
    <row r="200" spans="1:6" x14ac:dyDescent="0.25">
      <c r="A200" s="43"/>
      <c r="B200" s="43"/>
      <c r="C200" s="44"/>
      <c r="D200" s="43"/>
      <c r="E200" s="43"/>
      <c r="F200" s="43"/>
    </row>
    <row r="201" spans="1:6" x14ac:dyDescent="0.25">
      <c r="A201" s="43"/>
      <c r="B201" s="43"/>
      <c r="C201" s="44"/>
      <c r="D201" s="43"/>
      <c r="E201" s="43"/>
      <c r="F201" s="43"/>
    </row>
    <row r="202" spans="1:6" x14ac:dyDescent="0.25">
      <c r="A202" s="43"/>
      <c r="B202" s="43"/>
      <c r="C202" s="44"/>
      <c r="D202" s="43"/>
      <c r="E202" s="43"/>
      <c r="F202" s="43"/>
    </row>
    <row r="203" spans="1:6" x14ac:dyDescent="0.25">
      <c r="A203" s="43"/>
      <c r="B203" s="43"/>
      <c r="C203" s="44"/>
      <c r="D203" s="43"/>
      <c r="E203" s="43"/>
      <c r="F203" s="43"/>
    </row>
    <row r="204" spans="1:6" x14ac:dyDescent="0.25">
      <c r="A204" s="43"/>
      <c r="B204" s="43"/>
      <c r="C204" s="44"/>
      <c r="D204" s="43"/>
      <c r="E204" s="43"/>
      <c r="F204" s="43"/>
    </row>
    <row r="205" spans="1:6" x14ac:dyDescent="0.25">
      <c r="A205" s="43"/>
      <c r="B205" s="43"/>
      <c r="C205" s="44"/>
      <c r="D205" s="43"/>
      <c r="E205" s="43"/>
      <c r="F205" s="43"/>
    </row>
    <row r="206" spans="1:6" x14ac:dyDescent="0.25">
      <c r="A206" s="43"/>
      <c r="B206" s="43"/>
      <c r="C206" s="44"/>
      <c r="D206" s="43"/>
      <c r="E206" s="43"/>
      <c r="F206" s="43"/>
    </row>
    <row r="207" spans="1:6" x14ac:dyDescent="0.25">
      <c r="A207" s="43"/>
      <c r="B207" s="43"/>
      <c r="C207" s="44"/>
      <c r="D207" s="43"/>
      <c r="E207" s="43"/>
      <c r="F207" s="43"/>
    </row>
    <row r="208" spans="1:6" x14ac:dyDescent="0.25">
      <c r="A208" s="43"/>
      <c r="B208" s="43"/>
      <c r="C208" s="44"/>
      <c r="D208" s="43"/>
      <c r="E208" s="43"/>
      <c r="F208" s="43"/>
    </row>
    <row r="209" spans="1:6" x14ac:dyDescent="0.25">
      <c r="A209" s="43"/>
      <c r="B209" s="43"/>
      <c r="C209" s="44"/>
      <c r="D209" s="43"/>
      <c r="E209" s="43"/>
      <c r="F209" s="43"/>
    </row>
    <row r="210" spans="1:6" x14ac:dyDescent="0.25">
      <c r="A210" s="43"/>
      <c r="B210" s="43"/>
      <c r="C210" s="44"/>
      <c r="D210" s="43"/>
      <c r="E210" s="43"/>
      <c r="F210" s="43"/>
    </row>
    <row r="211" spans="1:6" x14ac:dyDescent="0.25">
      <c r="A211" s="43"/>
      <c r="B211" s="43"/>
      <c r="C211" s="44"/>
      <c r="D211" s="43"/>
      <c r="E211" s="43"/>
      <c r="F211" s="43"/>
    </row>
    <row r="212" spans="1:6" x14ac:dyDescent="0.25">
      <c r="A212" s="43"/>
      <c r="B212" s="43"/>
      <c r="C212" s="44"/>
      <c r="D212" s="43"/>
      <c r="E212" s="43"/>
      <c r="F212" s="43"/>
    </row>
    <row r="213" spans="1:6" x14ac:dyDescent="0.25">
      <c r="A213" s="43"/>
      <c r="B213" s="43"/>
      <c r="C213" s="44"/>
      <c r="D213" s="43"/>
      <c r="E213" s="43"/>
      <c r="F213" s="43"/>
    </row>
    <row r="214" spans="1:6" x14ac:dyDescent="0.25">
      <c r="A214" s="43"/>
      <c r="B214" s="43"/>
      <c r="C214" s="44"/>
      <c r="D214" s="43"/>
      <c r="E214" s="43"/>
      <c r="F214" s="43"/>
    </row>
    <row r="215" spans="1:6" x14ac:dyDescent="0.25">
      <c r="A215" s="43"/>
      <c r="B215" s="43"/>
      <c r="C215" s="44"/>
      <c r="D215" s="43"/>
      <c r="E215" s="43"/>
      <c r="F215" s="43"/>
    </row>
    <row r="216" spans="1:6" x14ac:dyDescent="0.25">
      <c r="A216" s="43"/>
      <c r="B216" s="43"/>
      <c r="C216" s="44"/>
      <c r="D216" s="43"/>
      <c r="E216" s="43"/>
      <c r="F216" s="43"/>
    </row>
    <row r="217" spans="1:6" x14ac:dyDescent="0.25">
      <c r="A217" s="43"/>
      <c r="B217" s="43"/>
      <c r="C217" s="44"/>
      <c r="D217" s="43"/>
      <c r="E217" s="43"/>
      <c r="F217" s="43"/>
    </row>
    <row r="218" spans="1:6" x14ac:dyDescent="0.25">
      <c r="A218" s="43"/>
      <c r="B218" s="43"/>
      <c r="C218" s="44"/>
      <c r="D218" s="43"/>
      <c r="E218" s="43"/>
      <c r="F218" s="43"/>
    </row>
    <row r="219" spans="1:6" x14ac:dyDescent="0.25">
      <c r="A219" s="43"/>
      <c r="B219" s="43"/>
      <c r="C219" s="44"/>
      <c r="D219" s="43"/>
      <c r="E219" s="43"/>
      <c r="F219" s="43"/>
    </row>
    <row r="220" spans="1:6" x14ac:dyDescent="0.25">
      <c r="A220" s="43"/>
      <c r="B220" s="43"/>
      <c r="C220" s="44"/>
      <c r="D220" s="43"/>
      <c r="E220" s="43"/>
      <c r="F220" s="43"/>
    </row>
    <row r="221" spans="1:6" x14ac:dyDescent="0.25">
      <c r="A221" s="43"/>
      <c r="B221" s="43"/>
      <c r="C221" s="44"/>
      <c r="D221" s="43"/>
      <c r="E221" s="43"/>
      <c r="F221" s="43"/>
    </row>
    <row r="222" spans="1:6" x14ac:dyDescent="0.25">
      <c r="A222" s="43"/>
      <c r="B222" s="43"/>
      <c r="C222" s="44"/>
      <c r="D222" s="43"/>
      <c r="E222" s="43"/>
      <c r="F222" s="43"/>
    </row>
    <row r="223" spans="1:6" x14ac:dyDescent="0.25">
      <c r="A223" s="43"/>
      <c r="B223" s="43"/>
      <c r="C223" s="44"/>
      <c r="D223" s="43"/>
      <c r="E223" s="43"/>
      <c r="F223" s="43"/>
    </row>
    <row r="224" spans="1:6" x14ac:dyDescent="0.25">
      <c r="A224" s="43"/>
      <c r="B224" s="43"/>
      <c r="C224" s="44"/>
      <c r="D224" s="43"/>
      <c r="E224" s="43"/>
      <c r="F224" s="43"/>
    </row>
    <row r="225" spans="1:6" x14ac:dyDescent="0.25">
      <c r="A225" s="43"/>
      <c r="B225" s="43"/>
      <c r="C225" s="44"/>
      <c r="D225" s="43"/>
      <c r="E225" s="43"/>
      <c r="F225" s="43"/>
    </row>
    <row r="226" spans="1:6" x14ac:dyDescent="0.25">
      <c r="A226" s="43"/>
      <c r="B226" s="43"/>
      <c r="C226" s="44"/>
      <c r="D226" s="43"/>
      <c r="E226" s="43"/>
      <c r="F226" s="43"/>
    </row>
    <row r="227" spans="1:6" x14ac:dyDescent="0.25">
      <c r="A227" s="43"/>
      <c r="B227" s="43"/>
      <c r="C227" s="44"/>
      <c r="D227" s="43"/>
      <c r="E227" s="43"/>
      <c r="F227" s="43"/>
    </row>
    <row r="228" spans="1:6" x14ac:dyDescent="0.25">
      <c r="A228" s="43"/>
      <c r="B228" s="43"/>
      <c r="C228" s="44"/>
      <c r="D228" s="43"/>
      <c r="E228" s="43"/>
      <c r="F228" s="43"/>
    </row>
    <row r="229" spans="1:6" x14ac:dyDescent="0.25">
      <c r="A229" s="43"/>
      <c r="B229" s="43"/>
      <c r="C229" s="44"/>
      <c r="D229" s="43"/>
      <c r="E229" s="43"/>
      <c r="F229" s="43"/>
    </row>
    <row r="230" spans="1:6" x14ac:dyDescent="0.25">
      <c r="A230" s="43"/>
      <c r="B230" s="43"/>
      <c r="C230" s="44"/>
      <c r="D230" s="43"/>
      <c r="E230" s="43"/>
      <c r="F230" s="43"/>
    </row>
    <row r="231" spans="1:6" x14ac:dyDescent="0.25">
      <c r="A231" s="43"/>
      <c r="B231" s="43"/>
      <c r="C231" s="44"/>
      <c r="D231" s="43"/>
      <c r="E231" s="43"/>
      <c r="F231" s="43"/>
    </row>
    <row r="232" spans="1:6" x14ac:dyDescent="0.25">
      <c r="A232" s="43"/>
      <c r="B232" s="43"/>
      <c r="C232" s="44"/>
      <c r="D232" s="43"/>
      <c r="E232" s="43"/>
      <c r="F232" s="43"/>
    </row>
    <row r="233" spans="1:6" x14ac:dyDescent="0.25">
      <c r="A233" s="43"/>
      <c r="B233" s="43"/>
      <c r="C233" s="44"/>
      <c r="D233" s="43"/>
      <c r="E233" s="43"/>
      <c r="F233" s="43"/>
    </row>
    <row r="234" spans="1:6" x14ac:dyDescent="0.25">
      <c r="A234" s="43"/>
      <c r="B234" s="43"/>
      <c r="C234" s="44"/>
      <c r="D234" s="43"/>
      <c r="E234" s="43"/>
      <c r="F234" s="43"/>
    </row>
    <row r="235" spans="1:6" x14ac:dyDescent="0.25">
      <c r="A235" s="43"/>
      <c r="B235" s="43"/>
      <c r="C235" s="44"/>
      <c r="D235" s="43"/>
      <c r="E235" s="43"/>
      <c r="F235" s="43"/>
    </row>
    <row r="236" spans="1:6" x14ac:dyDescent="0.25">
      <c r="A236" s="43"/>
      <c r="B236" s="43"/>
      <c r="C236" s="44"/>
      <c r="D236" s="43"/>
      <c r="E236" s="43"/>
      <c r="F236" s="43"/>
    </row>
    <row r="237" spans="1:6" x14ac:dyDescent="0.25">
      <c r="A237" s="43"/>
      <c r="B237" s="43"/>
      <c r="C237" s="44"/>
      <c r="D237" s="43"/>
      <c r="E237" s="43"/>
      <c r="F237" s="43"/>
    </row>
    <row r="238" spans="1:6" x14ac:dyDescent="0.25">
      <c r="A238" s="43"/>
      <c r="B238" s="43"/>
      <c r="C238" s="44"/>
      <c r="D238" s="43"/>
      <c r="E238" s="43"/>
      <c r="F238" s="43"/>
    </row>
    <row r="239" spans="1:6" x14ac:dyDescent="0.25">
      <c r="A239" s="43"/>
      <c r="B239" s="43"/>
      <c r="C239" s="44"/>
      <c r="D239" s="43"/>
      <c r="E239" s="43"/>
      <c r="F239" s="43"/>
    </row>
    <row r="240" spans="1:6" x14ac:dyDescent="0.25">
      <c r="A240" s="43"/>
      <c r="B240" s="43"/>
      <c r="C240" s="44"/>
      <c r="D240" s="43"/>
      <c r="E240" s="43"/>
      <c r="F240" s="43"/>
    </row>
    <row r="241" spans="1:6" x14ac:dyDescent="0.25">
      <c r="A241" s="43"/>
      <c r="B241" s="43"/>
      <c r="C241" s="44"/>
      <c r="D241" s="43"/>
      <c r="E241" s="43"/>
      <c r="F241" s="43"/>
    </row>
    <row r="242" spans="1:6" x14ac:dyDescent="0.25">
      <c r="A242" s="43"/>
      <c r="B242" s="43"/>
      <c r="C242" s="44"/>
      <c r="D242" s="43"/>
      <c r="E242" s="43"/>
      <c r="F242" s="43"/>
    </row>
    <row r="243" spans="1:6" x14ac:dyDescent="0.25">
      <c r="A243" s="43"/>
      <c r="B243" s="43"/>
      <c r="C243" s="44"/>
      <c r="D243" s="43"/>
      <c r="E243" s="43"/>
      <c r="F243" s="43"/>
    </row>
    <row r="244" spans="1:6" x14ac:dyDescent="0.25">
      <c r="A244" s="43"/>
      <c r="B244" s="43"/>
      <c r="C244" s="44"/>
      <c r="D244" s="43"/>
      <c r="E244" s="43"/>
      <c r="F244" s="43"/>
    </row>
    <row r="245" spans="1:6" x14ac:dyDescent="0.25">
      <c r="A245" s="43"/>
      <c r="B245" s="43"/>
      <c r="C245" s="44"/>
      <c r="D245" s="43"/>
      <c r="E245" s="43"/>
      <c r="F245" s="43"/>
    </row>
    <row r="246" spans="1:6" x14ac:dyDescent="0.25">
      <c r="A246" s="43"/>
      <c r="B246" s="43"/>
      <c r="C246" s="44"/>
      <c r="D246" s="43"/>
      <c r="E246" s="43"/>
      <c r="F246" s="43"/>
    </row>
    <row r="247" spans="1:6" x14ac:dyDescent="0.25">
      <c r="A247" s="43"/>
      <c r="B247" s="43"/>
      <c r="C247" s="44"/>
      <c r="D247" s="43"/>
      <c r="E247" s="43"/>
      <c r="F247" s="43"/>
    </row>
    <row r="248" spans="1:6" x14ac:dyDescent="0.25">
      <c r="A248" s="43"/>
      <c r="B248" s="43"/>
      <c r="C248" s="44"/>
      <c r="D248" s="43"/>
      <c r="E248" s="43"/>
      <c r="F248" s="43"/>
    </row>
    <row r="249" spans="1:6" x14ac:dyDescent="0.25">
      <c r="A249" s="43"/>
      <c r="B249" s="43"/>
      <c r="C249" s="44"/>
      <c r="D249" s="43"/>
      <c r="E249" s="43"/>
      <c r="F249" s="43"/>
    </row>
    <row r="250" spans="1:6" x14ac:dyDescent="0.25">
      <c r="A250" s="43"/>
      <c r="B250" s="43"/>
      <c r="C250" s="44"/>
      <c r="D250" s="43"/>
      <c r="E250" s="43"/>
      <c r="F250" s="43"/>
    </row>
    <row r="251" spans="1:6" x14ac:dyDescent="0.25">
      <c r="A251" s="43"/>
      <c r="B251" s="43"/>
      <c r="C251" s="44"/>
      <c r="D251" s="43"/>
      <c r="E251" s="43"/>
      <c r="F251" s="43"/>
    </row>
    <row r="252" spans="1:6" x14ac:dyDescent="0.25">
      <c r="A252" s="43"/>
      <c r="B252" s="43"/>
      <c r="C252" s="44"/>
      <c r="D252" s="43"/>
      <c r="E252" s="43"/>
      <c r="F252" s="43"/>
    </row>
    <row r="253" spans="1:6" x14ac:dyDescent="0.25">
      <c r="A253" s="43"/>
      <c r="B253" s="43"/>
      <c r="C253" s="44"/>
      <c r="D253" s="43"/>
      <c r="E253" s="43"/>
      <c r="F253" s="43"/>
    </row>
    <row r="254" spans="1:6" x14ac:dyDescent="0.25">
      <c r="A254" s="43"/>
      <c r="B254" s="43"/>
      <c r="C254" s="44"/>
      <c r="D254" s="43"/>
      <c r="E254" s="43"/>
      <c r="F254" s="43"/>
    </row>
    <row r="255" spans="1:6" x14ac:dyDescent="0.25">
      <c r="A255" s="43"/>
      <c r="B255" s="43"/>
      <c r="C255" s="44"/>
      <c r="D255" s="43"/>
      <c r="E255" s="43"/>
      <c r="F255" s="43"/>
    </row>
    <row r="256" spans="1:6" x14ac:dyDescent="0.25">
      <c r="A256" s="43"/>
      <c r="B256" s="43"/>
      <c r="C256" s="44"/>
      <c r="D256" s="43"/>
      <c r="E256" s="43"/>
      <c r="F256" s="43"/>
    </row>
    <row r="257" spans="1:6" x14ac:dyDescent="0.25">
      <c r="A257" s="43"/>
      <c r="B257" s="43"/>
      <c r="C257" s="44"/>
      <c r="D257" s="43"/>
      <c r="E257" s="43"/>
      <c r="F257" s="43"/>
    </row>
    <row r="258" spans="1:6" x14ac:dyDescent="0.25">
      <c r="A258" s="43"/>
      <c r="B258" s="43"/>
      <c r="C258" s="44"/>
      <c r="D258" s="43"/>
      <c r="E258" s="43"/>
      <c r="F258" s="43"/>
    </row>
    <row r="259" spans="1:6" x14ac:dyDescent="0.25">
      <c r="A259" s="43"/>
      <c r="B259" s="43"/>
      <c r="C259" s="44"/>
      <c r="D259" s="43"/>
      <c r="E259" s="43"/>
      <c r="F259" s="43"/>
    </row>
    <row r="260" spans="1:6" x14ac:dyDescent="0.25">
      <c r="A260" s="43"/>
      <c r="B260" s="43"/>
      <c r="C260" s="44"/>
      <c r="D260" s="43"/>
      <c r="E260" s="43"/>
      <c r="F260" s="43"/>
    </row>
    <row r="261" spans="1:6" x14ac:dyDescent="0.25">
      <c r="A261" s="43"/>
      <c r="B261" s="43"/>
      <c r="C261" s="44"/>
      <c r="D261" s="43"/>
      <c r="E261" s="43"/>
      <c r="F261" s="43"/>
    </row>
    <row r="262" spans="1:6" x14ac:dyDescent="0.25">
      <c r="A262" s="43"/>
      <c r="B262" s="43"/>
      <c r="C262" s="44"/>
      <c r="D262" s="43"/>
      <c r="E262" s="43"/>
      <c r="F262" s="43"/>
    </row>
    <row r="263" spans="1:6" x14ac:dyDescent="0.25">
      <c r="A263" s="43"/>
      <c r="B263" s="43"/>
      <c r="C263" s="44"/>
      <c r="D263" s="43"/>
      <c r="E263" s="43"/>
      <c r="F263" s="43"/>
    </row>
    <row r="264" spans="1:6" x14ac:dyDescent="0.25">
      <c r="A264" s="43"/>
      <c r="B264" s="43"/>
      <c r="C264" s="44"/>
      <c r="D264" s="43"/>
      <c r="E264" s="43"/>
      <c r="F264" s="43"/>
    </row>
    <row r="265" spans="1:6" x14ac:dyDescent="0.25">
      <c r="A265" s="43"/>
      <c r="B265" s="43"/>
      <c r="C265" s="44"/>
      <c r="D265" s="43"/>
      <c r="E265" s="43"/>
      <c r="F265" s="43"/>
    </row>
    <row r="266" spans="1:6" x14ac:dyDescent="0.25">
      <c r="A266" s="43"/>
      <c r="B266" s="43"/>
      <c r="C266" s="44"/>
      <c r="D266" s="43"/>
      <c r="E266" s="43"/>
      <c r="F266" s="43"/>
    </row>
    <row r="267" spans="1:6" x14ac:dyDescent="0.25">
      <c r="A267" s="43"/>
      <c r="B267" s="43"/>
      <c r="C267" s="44"/>
      <c r="D267" s="43"/>
      <c r="E267" s="43"/>
      <c r="F267" s="43"/>
    </row>
    <row r="268" spans="1:6" x14ac:dyDescent="0.25">
      <c r="A268" s="43"/>
      <c r="B268" s="43"/>
      <c r="C268" s="44"/>
      <c r="D268" s="43"/>
      <c r="E268" s="43"/>
      <c r="F268" s="43"/>
    </row>
    <row r="269" spans="1:6" x14ac:dyDescent="0.25">
      <c r="A269" s="43"/>
      <c r="B269" s="43"/>
      <c r="C269" s="44"/>
      <c r="D269" s="43"/>
      <c r="E269" s="43"/>
      <c r="F269" s="43"/>
    </row>
    <row r="270" spans="1:6" x14ac:dyDescent="0.25">
      <c r="A270" s="43"/>
      <c r="B270" s="43"/>
      <c r="C270" s="44"/>
      <c r="D270" s="43"/>
      <c r="E270" s="43"/>
      <c r="F270" s="43"/>
    </row>
    <row r="271" spans="1:6" x14ac:dyDescent="0.25">
      <c r="A271" s="43"/>
      <c r="B271" s="43"/>
      <c r="C271" s="44"/>
      <c r="D271" s="43"/>
      <c r="E271" s="43"/>
      <c r="F271" s="43"/>
    </row>
    <row r="272" spans="1:6" x14ac:dyDescent="0.25">
      <c r="A272" s="43"/>
      <c r="B272" s="43"/>
      <c r="C272" s="44"/>
      <c r="D272" s="43"/>
      <c r="E272" s="43"/>
      <c r="F272" s="43"/>
    </row>
    <row r="273" spans="1:6" x14ac:dyDescent="0.25">
      <c r="A273" s="43"/>
      <c r="B273" s="43"/>
      <c r="C273" s="44"/>
      <c r="D273" s="43"/>
      <c r="E273" s="43"/>
      <c r="F273" s="43"/>
    </row>
    <row r="274" spans="1:6" x14ac:dyDescent="0.25">
      <c r="A274" s="43"/>
      <c r="B274" s="43"/>
      <c r="C274" s="44"/>
      <c r="D274" s="43"/>
      <c r="E274" s="43"/>
      <c r="F274" s="43"/>
    </row>
    <row r="275" spans="1:6" x14ac:dyDescent="0.25">
      <c r="A275" s="43"/>
      <c r="B275" s="43"/>
      <c r="C275" s="44"/>
      <c r="D275" s="43"/>
      <c r="E275" s="43"/>
      <c r="F275" s="43"/>
    </row>
    <row r="276" spans="1:6" x14ac:dyDescent="0.25">
      <c r="A276" s="43"/>
      <c r="B276" s="43"/>
      <c r="C276" s="44"/>
      <c r="D276" s="43"/>
      <c r="E276" s="43"/>
      <c r="F276" s="43"/>
    </row>
    <row r="277" spans="1:6" x14ac:dyDescent="0.25">
      <c r="A277" s="43"/>
      <c r="B277" s="43"/>
      <c r="C277" s="44"/>
      <c r="D277" s="43"/>
      <c r="E277" s="43"/>
      <c r="F277" s="43"/>
    </row>
    <row r="278" spans="1:6" x14ac:dyDescent="0.25">
      <c r="A278" s="43"/>
      <c r="B278" s="43"/>
      <c r="C278" s="44"/>
      <c r="D278" s="43"/>
      <c r="E278" s="43"/>
      <c r="F278" s="43"/>
    </row>
    <row r="279" spans="1:6" x14ac:dyDescent="0.25">
      <c r="A279" s="43"/>
      <c r="B279" s="43"/>
      <c r="C279" s="44"/>
      <c r="D279" s="43"/>
      <c r="E279" s="43"/>
      <c r="F279" s="43"/>
    </row>
    <row r="280" spans="1:6" x14ac:dyDescent="0.25">
      <c r="A280" s="43"/>
      <c r="B280" s="43"/>
      <c r="C280" s="44"/>
      <c r="D280" s="43"/>
      <c r="E280" s="43"/>
      <c r="F280" s="43"/>
    </row>
    <row r="281" spans="1:6" x14ac:dyDescent="0.25">
      <c r="A281" s="43"/>
      <c r="B281" s="43"/>
      <c r="C281" s="44"/>
      <c r="D281" s="43"/>
      <c r="E281" s="43"/>
      <c r="F281" s="43"/>
    </row>
    <row r="282" spans="1:6" x14ac:dyDescent="0.25">
      <c r="A282" s="43"/>
      <c r="B282" s="43"/>
      <c r="C282" s="44"/>
      <c r="D282" s="43"/>
      <c r="E282" s="43"/>
      <c r="F282" s="43"/>
    </row>
    <row r="283" spans="1:6" x14ac:dyDescent="0.25">
      <c r="A283" s="43"/>
      <c r="B283" s="43"/>
      <c r="C283" s="44"/>
      <c r="D283" s="43"/>
      <c r="E283" s="43"/>
      <c r="F283" s="43"/>
    </row>
    <row r="284" spans="1:6" x14ac:dyDescent="0.25">
      <c r="A284" s="43"/>
      <c r="B284" s="43"/>
      <c r="C284" s="44"/>
      <c r="D284" s="43"/>
      <c r="E284" s="43"/>
      <c r="F284" s="43"/>
    </row>
    <row r="285" spans="1:6" x14ac:dyDescent="0.25">
      <c r="A285" s="43"/>
      <c r="B285" s="43"/>
      <c r="C285" s="44"/>
      <c r="D285" s="43"/>
      <c r="E285" s="43"/>
      <c r="F285" s="43"/>
    </row>
    <row r="286" spans="1:6" x14ac:dyDescent="0.25">
      <c r="A286" s="43"/>
      <c r="B286" s="43"/>
      <c r="C286" s="44"/>
      <c r="D286" s="43"/>
      <c r="E286" s="43"/>
      <c r="F286" s="43"/>
    </row>
    <row r="287" spans="1:6" x14ac:dyDescent="0.25">
      <c r="A287" s="43"/>
      <c r="B287" s="43"/>
      <c r="C287" s="44"/>
      <c r="D287" s="43"/>
      <c r="E287" s="43"/>
      <c r="F287" s="43"/>
    </row>
    <row r="288" spans="1:6" x14ac:dyDescent="0.25">
      <c r="A288" s="43"/>
      <c r="B288" s="43"/>
      <c r="C288" s="44"/>
      <c r="D288" s="43"/>
      <c r="E288" s="43"/>
      <c r="F288" s="43"/>
    </row>
    <row r="289" spans="1:6" x14ac:dyDescent="0.25">
      <c r="A289" s="43"/>
      <c r="B289" s="43"/>
      <c r="C289" s="44"/>
      <c r="D289" s="43"/>
      <c r="E289" s="43"/>
      <c r="F289" s="43"/>
    </row>
    <row r="290" spans="1:6" x14ac:dyDescent="0.25">
      <c r="A290" s="43"/>
      <c r="B290" s="43"/>
      <c r="C290" s="44"/>
      <c r="D290" s="43"/>
      <c r="E290" s="43"/>
      <c r="F290" s="43"/>
    </row>
    <row r="291" spans="1:6" x14ac:dyDescent="0.25">
      <c r="A291" s="43"/>
      <c r="B291" s="43"/>
      <c r="C291" s="44"/>
      <c r="D291" s="43"/>
      <c r="E291" s="43"/>
      <c r="F291" s="43"/>
    </row>
    <row r="292" spans="1:6" x14ac:dyDescent="0.25">
      <c r="A292" s="43"/>
      <c r="B292" s="43"/>
      <c r="C292" s="44"/>
      <c r="D292" s="43"/>
      <c r="E292" s="43"/>
      <c r="F292" s="43"/>
    </row>
    <row r="293" spans="1:6" x14ac:dyDescent="0.25">
      <c r="A293" s="43"/>
      <c r="B293" s="43"/>
      <c r="C293" s="44"/>
      <c r="D293" s="43"/>
      <c r="E293" s="43"/>
      <c r="F293" s="43"/>
    </row>
    <row r="294" spans="1:6" x14ac:dyDescent="0.25">
      <c r="A294" s="43"/>
      <c r="B294" s="43"/>
      <c r="C294" s="44"/>
      <c r="D294" s="43"/>
      <c r="E294" s="43"/>
      <c r="F294" s="43"/>
    </row>
    <row r="295" spans="1:6" x14ac:dyDescent="0.25">
      <c r="A295" s="43"/>
      <c r="B295" s="43"/>
      <c r="C295" s="44"/>
      <c r="D295" s="43"/>
      <c r="E295" s="43"/>
      <c r="F295" s="43"/>
    </row>
    <row r="296" spans="1:6" x14ac:dyDescent="0.25">
      <c r="A296" s="43"/>
      <c r="B296" s="43"/>
      <c r="C296" s="44"/>
      <c r="D296" s="43"/>
      <c r="E296" s="43"/>
      <c r="F296" s="43"/>
    </row>
    <row r="297" spans="1:6" x14ac:dyDescent="0.25">
      <c r="A297" s="43"/>
      <c r="B297" s="43"/>
      <c r="C297" s="44"/>
      <c r="D297" s="43"/>
      <c r="E297" s="43"/>
      <c r="F297" s="43"/>
    </row>
    <row r="298" spans="1:6" x14ac:dyDescent="0.25">
      <c r="A298" s="43"/>
      <c r="B298" s="43"/>
      <c r="C298" s="44"/>
      <c r="D298" s="43"/>
      <c r="E298" s="43"/>
      <c r="F298" s="43"/>
    </row>
    <row r="299" spans="1:6" x14ac:dyDescent="0.25">
      <c r="A299" s="43"/>
      <c r="B299" s="43"/>
      <c r="C299" s="44"/>
      <c r="D299" s="43"/>
      <c r="E299" s="43"/>
      <c r="F299" s="43"/>
    </row>
    <row r="300" spans="1:6" x14ac:dyDescent="0.25">
      <c r="A300" s="43"/>
      <c r="B300" s="43"/>
      <c r="C300" s="44"/>
      <c r="D300" s="43"/>
      <c r="E300" s="43"/>
      <c r="F300" s="43"/>
    </row>
    <row r="301" spans="1:6" x14ac:dyDescent="0.25">
      <c r="A301" s="43"/>
      <c r="B301" s="43"/>
      <c r="C301" s="44"/>
      <c r="D301" s="43"/>
      <c r="E301" s="43"/>
      <c r="F301" s="43"/>
    </row>
    <row r="302" spans="1:6" x14ac:dyDescent="0.25">
      <c r="A302" s="43"/>
      <c r="B302" s="43"/>
      <c r="C302" s="44"/>
      <c r="D302" s="43"/>
      <c r="E302" s="43"/>
      <c r="F302" s="43"/>
    </row>
    <row r="303" spans="1:6" x14ac:dyDescent="0.25">
      <c r="A303" s="43"/>
      <c r="B303" s="43"/>
      <c r="C303" s="44"/>
      <c r="D303" s="43"/>
      <c r="E303" s="43"/>
      <c r="F303" s="43"/>
    </row>
    <row r="304" spans="1:6" x14ac:dyDescent="0.25">
      <c r="A304" s="43"/>
      <c r="B304" s="43"/>
      <c r="C304" s="44"/>
      <c r="D304" s="43"/>
      <c r="E304" s="43"/>
      <c r="F304" s="43"/>
    </row>
    <row r="305" spans="1:6" x14ac:dyDescent="0.25">
      <c r="A305" s="43"/>
      <c r="B305" s="43"/>
      <c r="C305" s="44"/>
      <c r="D305" s="43"/>
      <c r="E305" s="43"/>
      <c r="F305" s="43"/>
    </row>
    <row r="306" spans="1:6" x14ac:dyDescent="0.25">
      <c r="A306" s="43"/>
      <c r="B306" s="43"/>
      <c r="C306" s="44"/>
      <c r="D306" s="43"/>
      <c r="E306" s="43"/>
      <c r="F306" s="43"/>
    </row>
    <row r="307" spans="1:6" x14ac:dyDescent="0.25">
      <c r="A307" s="43"/>
      <c r="B307" s="43"/>
      <c r="C307" s="44"/>
      <c r="D307" s="43"/>
      <c r="E307" s="43"/>
      <c r="F307" s="43"/>
    </row>
    <row r="308" spans="1:6" x14ac:dyDescent="0.25">
      <c r="A308" s="43"/>
      <c r="B308" s="43"/>
      <c r="C308" s="44"/>
      <c r="D308" s="43"/>
      <c r="E308" s="43"/>
      <c r="F308" s="43"/>
    </row>
    <row r="309" spans="1:6" x14ac:dyDescent="0.25">
      <c r="A309" s="43"/>
      <c r="B309" s="43"/>
      <c r="C309" s="44"/>
      <c r="D309" s="43"/>
      <c r="E309" s="43"/>
      <c r="F309" s="43"/>
    </row>
    <row r="310" spans="1:6" x14ac:dyDescent="0.25">
      <c r="A310" s="43"/>
      <c r="B310" s="43"/>
      <c r="C310" s="44"/>
      <c r="D310" s="43"/>
      <c r="E310" s="43"/>
      <c r="F310" s="43"/>
    </row>
    <row r="311" spans="1:6" x14ac:dyDescent="0.25">
      <c r="A311" s="43"/>
      <c r="B311" s="43"/>
      <c r="C311" s="44"/>
      <c r="D311" s="43"/>
      <c r="E311" s="43"/>
      <c r="F311" s="43"/>
    </row>
    <row r="312" spans="1:6" x14ac:dyDescent="0.25">
      <c r="A312" s="43"/>
      <c r="B312" s="43"/>
      <c r="C312" s="44"/>
      <c r="D312" s="43"/>
      <c r="E312" s="43"/>
      <c r="F312" s="43"/>
    </row>
    <row r="313" spans="1:6" x14ac:dyDescent="0.25">
      <c r="A313" s="43"/>
      <c r="B313" s="43"/>
      <c r="C313" s="44"/>
      <c r="D313" s="43"/>
      <c r="E313" s="43"/>
      <c r="F313" s="43"/>
    </row>
    <row r="314" spans="1:6" x14ac:dyDescent="0.25">
      <c r="A314" s="43"/>
      <c r="B314" s="43"/>
      <c r="C314" s="44"/>
      <c r="D314" s="43"/>
      <c r="E314" s="43"/>
      <c r="F314" s="43"/>
    </row>
    <row r="315" spans="1:6" x14ac:dyDescent="0.25">
      <c r="A315" s="43"/>
      <c r="B315" s="43"/>
      <c r="C315" s="44"/>
      <c r="D315" s="43"/>
      <c r="E315" s="43"/>
      <c r="F315" s="43"/>
    </row>
    <row r="316" spans="1:6" x14ac:dyDescent="0.25">
      <c r="A316" s="43"/>
      <c r="B316" s="43"/>
      <c r="C316" s="44"/>
      <c r="D316" s="43"/>
      <c r="E316" s="43"/>
      <c r="F316" s="43"/>
    </row>
    <row r="317" spans="1:6" x14ac:dyDescent="0.25">
      <c r="A317" s="43"/>
      <c r="B317" s="43"/>
      <c r="C317" s="44"/>
      <c r="D317" s="43"/>
      <c r="E317" s="43"/>
      <c r="F317" s="43"/>
    </row>
    <row r="318" spans="1:6" x14ac:dyDescent="0.25">
      <c r="A318" s="43"/>
      <c r="B318" s="43"/>
      <c r="C318" s="44"/>
      <c r="D318" s="43"/>
      <c r="E318" s="43"/>
      <c r="F318" s="43"/>
    </row>
    <row r="319" spans="1:6" x14ac:dyDescent="0.25">
      <c r="A319" s="43"/>
      <c r="B319" s="43"/>
      <c r="C319" s="44"/>
      <c r="D319" s="43"/>
      <c r="E319" s="43"/>
      <c r="F319" s="43"/>
    </row>
    <row r="320" spans="1:6" x14ac:dyDescent="0.25">
      <c r="A320" s="43"/>
      <c r="B320" s="43"/>
      <c r="C320" s="44"/>
      <c r="D320" s="43"/>
      <c r="E320" s="43"/>
      <c r="F320" s="43"/>
    </row>
    <row r="321" spans="1:6" x14ac:dyDescent="0.25">
      <c r="A321" s="43"/>
      <c r="B321" s="43"/>
      <c r="C321" s="44"/>
      <c r="D321" s="43"/>
      <c r="E321" s="43"/>
      <c r="F321" s="43"/>
    </row>
    <row r="322" spans="1:6" x14ac:dyDescent="0.25">
      <c r="A322" s="43"/>
      <c r="B322" s="43"/>
      <c r="C322" s="44"/>
      <c r="D322" s="43"/>
      <c r="E322" s="43"/>
      <c r="F322" s="43"/>
    </row>
    <row r="323" spans="1:6" x14ac:dyDescent="0.25">
      <c r="A323" s="43"/>
      <c r="B323" s="43"/>
      <c r="C323" s="44"/>
      <c r="D323" s="43"/>
      <c r="E323" s="43"/>
      <c r="F323" s="43"/>
    </row>
    <row r="324" spans="1:6" x14ac:dyDescent="0.25">
      <c r="A324" s="43"/>
      <c r="B324" s="43"/>
      <c r="C324" s="44"/>
      <c r="D324" s="43"/>
      <c r="E324" s="43"/>
      <c r="F324" s="43"/>
    </row>
    <row r="325" spans="1:6" x14ac:dyDescent="0.25">
      <c r="A325" s="43"/>
      <c r="B325" s="43"/>
      <c r="C325" s="44"/>
      <c r="D325" s="43"/>
      <c r="E325" s="43"/>
      <c r="F325" s="43"/>
    </row>
    <row r="326" spans="1:6" x14ac:dyDescent="0.25">
      <c r="A326" s="43"/>
      <c r="B326" s="43"/>
      <c r="C326" s="44"/>
      <c r="D326" s="43"/>
      <c r="E326" s="43"/>
      <c r="F326" s="43"/>
    </row>
    <row r="327" spans="1:6" x14ac:dyDescent="0.25">
      <c r="A327" s="43"/>
      <c r="B327" s="43"/>
      <c r="C327" s="44"/>
      <c r="D327" s="43"/>
      <c r="E327" s="43"/>
      <c r="F327" s="43"/>
    </row>
    <row r="328" spans="1:6" x14ac:dyDescent="0.25">
      <c r="A328" s="43"/>
      <c r="B328" s="43"/>
      <c r="C328" s="44"/>
      <c r="D328" s="43"/>
      <c r="E328" s="43"/>
      <c r="F328" s="43"/>
    </row>
    <row r="329" spans="1:6" x14ac:dyDescent="0.25">
      <c r="A329" s="43"/>
      <c r="B329" s="43"/>
      <c r="C329" s="44"/>
      <c r="D329" s="43"/>
      <c r="E329" s="43"/>
      <c r="F329" s="43"/>
    </row>
    <row r="330" spans="1:6" x14ac:dyDescent="0.25">
      <c r="A330" s="43"/>
      <c r="B330" s="43"/>
      <c r="C330" s="44"/>
      <c r="D330" s="43"/>
      <c r="E330" s="43"/>
      <c r="F330" s="43"/>
    </row>
    <row r="331" spans="1:6" x14ac:dyDescent="0.25">
      <c r="A331" s="43"/>
      <c r="B331" s="43"/>
      <c r="C331" s="44"/>
      <c r="D331" s="43"/>
      <c r="E331" s="43"/>
      <c r="F331" s="43"/>
    </row>
    <row r="332" spans="1:6" x14ac:dyDescent="0.25">
      <c r="A332" s="43"/>
      <c r="B332" s="43"/>
      <c r="C332" s="44"/>
      <c r="D332" s="43"/>
      <c r="E332" s="43"/>
      <c r="F332" s="43"/>
    </row>
    <row r="333" spans="1:6" x14ac:dyDescent="0.25">
      <c r="A333" s="43"/>
      <c r="B333" s="43"/>
      <c r="C333" s="44"/>
      <c r="D333" s="43"/>
      <c r="E333" s="43"/>
      <c r="F333" s="43"/>
    </row>
    <row r="334" spans="1:6" x14ac:dyDescent="0.25">
      <c r="A334" s="43"/>
      <c r="B334" s="43"/>
      <c r="C334" s="44"/>
      <c r="D334" s="43"/>
      <c r="E334" s="43"/>
      <c r="F334" s="43"/>
    </row>
    <row r="335" spans="1:6" x14ac:dyDescent="0.25">
      <c r="A335" s="43"/>
      <c r="B335" s="43"/>
      <c r="C335" s="44"/>
      <c r="D335" s="43"/>
      <c r="E335" s="43"/>
      <c r="F335" s="43"/>
    </row>
    <row r="336" spans="1:6" x14ac:dyDescent="0.25">
      <c r="A336" s="43"/>
      <c r="B336" s="43"/>
      <c r="C336" s="44"/>
      <c r="D336" s="43"/>
      <c r="E336" s="43"/>
      <c r="F336" s="43"/>
    </row>
    <row r="337" spans="1:6" x14ac:dyDescent="0.25">
      <c r="A337" s="43"/>
      <c r="B337" s="43"/>
      <c r="C337" s="44"/>
      <c r="D337" s="43"/>
      <c r="E337" s="43"/>
      <c r="F337" s="43"/>
    </row>
    <row r="338" spans="1:6" x14ac:dyDescent="0.25">
      <c r="A338" s="43"/>
      <c r="B338" s="43"/>
      <c r="C338" s="44"/>
      <c r="D338" s="43"/>
      <c r="E338" s="43"/>
      <c r="F338" s="43"/>
    </row>
    <row r="339" spans="1:6" x14ac:dyDescent="0.25">
      <c r="A339" s="43"/>
      <c r="B339" s="43"/>
      <c r="C339" s="44"/>
      <c r="D339" s="43"/>
      <c r="E339" s="43"/>
      <c r="F339" s="43"/>
    </row>
    <row r="340" spans="1:6" x14ac:dyDescent="0.25">
      <c r="A340" s="43"/>
      <c r="B340" s="43"/>
      <c r="C340" s="44"/>
      <c r="D340" s="43"/>
      <c r="E340" s="43"/>
      <c r="F340" s="43"/>
    </row>
    <row r="341" spans="1:6" x14ac:dyDescent="0.25">
      <c r="A341" s="43"/>
      <c r="B341" s="43"/>
      <c r="C341" s="44"/>
      <c r="D341" s="43"/>
      <c r="E341" s="43"/>
      <c r="F341" s="43"/>
    </row>
    <row r="342" spans="1:6" x14ac:dyDescent="0.25">
      <c r="A342" s="43"/>
      <c r="B342" s="43"/>
      <c r="C342" s="44"/>
      <c r="D342" s="43"/>
      <c r="E342" s="43"/>
      <c r="F342" s="43"/>
    </row>
    <row r="343" spans="1:6" x14ac:dyDescent="0.25">
      <c r="A343" s="43"/>
      <c r="B343" s="43"/>
      <c r="C343" s="44"/>
      <c r="D343" s="43"/>
      <c r="E343" s="43"/>
      <c r="F343" s="43"/>
    </row>
    <row r="344" spans="1:6" x14ac:dyDescent="0.25">
      <c r="A344" s="43"/>
      <c r="B344" s="43"/>
      <c r="C344" s="44"/>
      <c r="D344" s="43"/>
      <c r="E344" s="43"/>
      <c r="F344" s="43"/>
    </row>
    <row r="345" spans="1:6" x14ac:dyDescent="0.25">
      <c r="A345" s="43"/>
      <c r="B345" s="43"/>
      <c r="C345" s="44"/>
      <c r="D345" s="43"/>
      <c r="E345" s="43"/>
      <c r="F345" s="43"/>
    </row>
    <row r="346" spans="1:6" x14ac:dyDescent="0.25">
      <c r="A346" s="43"/>
      <c r="B346" s="43"/>
      <c r="C346" s="44"/>
      <c r="D346" s="43"/>
      <c r="E346" s="43"/>
      <c r="F346" s="43"/>
    </row>
    <row r="347" spans="1:6" x14ac:dyDescent="0.25">
      <c r="A347" s="43"/>
      <c r="B347" s="43"/>
      <c r="C347" s="44"/>
      <c r="D347" s="43"/>
      <c r="E347" s="43"/>
      <c r="F347" s="43"/>
    </row>
    <row r="348" spans="1:6" x14ac:dyDescent="0.25">
      <c r="A348" s="43"/>
      <c r="B348" s="43"/>
      <c r="C348" s="44"/>
      <c r="D348" s="43"/>
      <c r="E348" s="43"/>
      <c r="F348" s="43"/>
    </row>
    <row r="349" spans="1:6" x14ac:dyDescent="0.25">
      <c r="A349" s="43"/>
      <c r="B349" s="43"/>
      <c r="C349" s="44"/>
      <c r="D349" s="43"/>
      <c r="E349" s="43"/>
      <c r="F349" s="43"/>
    </row>
    <row r="350" spans="1:6" x14ac:dyDescent="0.25">
      <c r="A350" s="43"/>
      <c r="B350" s="43"/>
      <c r="C350" s="44"/>
      <c r="D350" s="43"/>
      <c r="E350" s="43"/>
      <c r="F350" s="43"/>
    </row>
    <row r="351" spans="1:6" x14ac:dyDescent="0.25">
      <c r="A351" s="43"/>
      <c r="B351" s="43"/>
      <c r="C351" s="44"/>
      <c r="D351" s="43"/>
      <c r="E351" s="43"/>
      <c r="F351" s="43"/>
    </row>
    <row r="352" spans="1:6" x14ac:dyDescent="0.25">
      <c r="A352" s="43"/>
      <c r="B352" s="43"/>
      <c r="C352" s="44"/>
      <c r="D352" s="43"/>
      <c r="E352" s="43"/>
      <c r="F352" s="43"/>
    </row>
    <row r="353" spans="1:6" x14ac:dyDescent="0.25">
      <c r="A353" s="43"/>
      <c r="B353" s="43"/>
      <c r="C353" s="44"/>
      <c r="D353" s="43"/>
      <c r="E353" s="43"/>
      <c r="F353" s="43"/>
    </row>
    <row r="354" spans="1:6" x14ac:dyDescent="0.25">
      <c r="A354" s="43"/>
      <c r="B354" s="43"/>
      <c r="C354" s="44"/>
      <c r="D354" s="43"/>
      <c r="E354" s="43"/>
      <c r="F354" s="43"/>
    </row>
    <row r="355" spans="1:6" x14ac:dyDescent="0.25">
      <c r="A355" s="43"/>
      <c r="B355" s="43"/>
      <c r="C355" s="44"/>
      <c r="D355" s="43"/>
      <c r="E355" s="43"/>
      <c r="F355" s="43"/>
    </row>
    <row r="356" spans="1:6" x14ac:dyDescent="0.25">
      <c r="A356" s="43"/>
      <c r="B356" s="43"/>
      <c r="C356" s="44"/>
      <c r="D356" s="43"/>
      <c r="E356" s="43"/>
      <c r="F356" s="43"/>
    </row>
    <row r="357" spans="1:6" x14ac:dyDescent="0.25">
      <c r="A357" s="43"/>
      <c r="B357" s="43"/>
      <c r="C357" s="44"/>
      <c r="D357" s="43"/>
      <c r="E357" s="43"/>
      <c r="F357" s="43"/>
    </row>
    <row r="358" spans="1:6" x14ac:dyDescent="0.25">
      <c r="A358" s="43"/>
      <c r="B358" s="43"/>
      <c r="C358" s="44"/>
      <c r="D358" s="43"/>
      <c r="E358" s="43"/>
      <c r="F358" s="43"/>
    </row>
    <row r="359" spans="1:6" x14ac:dyDescent="0.25">
      <c r="A359" s="43"/>
      <c r="B359" s="43"/>
      <c r="C359" s="44"/>
      <c r="D359" s="43"/>
      <c r="E359" s="43"/>
      <c r="F359" s="43"/>
    </row>
    <row r="360" spans="1:6" x14ac:dyDescent="0.25">
      <c r="A360" s="43"/>
      <c r="B360" s="43"/>
      <c r="C360" s="44"/>
      <c r="D360" s="43"/>
      <c r="E360" s="43"/>
      <c r="F360" s="43"/>
    </row>
    <row r="361" spans="1:6" x14ac:dyDescent="0.25">
      <c r="A361" s="43"/>
      <c r="B361" s="43"/>
      <c r="C361" s="44"/>
      <c r="D361" s="43"/>
      <c r="E361" s="43"/>
      <c r="F361" s="43"/>
    </row>
    <row r="362" spans="1:6" x14ac:dyDescent="0.25">
      <c r="A362" s="43"/>
      <c r="B362" s="43"/>
      <c r="C362" s="44"/>
      <c r="D362" s="43"/>
      <c r="E362" s="43"/>
      <c r="F362" s="43"/>
    </row>
    <row r="363" spans="1:6" x14ac:dyDescent="0.25">
      <c r="A363" s="43"/>
      <c r="B363" s="43"/>
      <c r="C363" s="44"/>
      <c r="D363" s="43"/>
      <c r="E363" s="43"/>
      <c r="F363" s="43"/>
    </row>
    <row r="364" spans="1:6" x14ac:dyDescent="0.25">
      <c r="A364" s="43"/>
      <c r="B364" s="43"/>
      <c r="C364" s="44"/>
      <c r="D364" s="43"/>
      <c r="E364" s="43"/>
      <c r="F364" s="43"/>
    </row>
    <row r="365" spans="1:6" x14ac:dyDescent="0.25">
      <c r="A365" s="43"/>
      <c r="B365" s="43"/>
      <c r="C365" s="44"/>
      <c r="D365" s="43"/>
      <c r="E365" s="43"/>
      <c r="F365" s="43"/>
    </row>
    <row r="366" spans="1:6" x14ac:dyDescent="0.25">
      <c r="A366" s="43"/>
      <c r="B366" s="43"/>
      <c r="C366" s="44"/>
      <c r="D366" s="43"/>
      <c r="E366" s="43"/>
      <c r="F366" s="43"/>
    </row>
    <row r="367" spans="1:6" x14ac:dyDescent="0.25">
      <c r="A367" s="43"/>
      <c r="B367" s="43"/>
      <c r="C367" s="44"/>
      <c r="D367" s="43"/>
      <c r="E367" s="43"/>
      <c r="F367" s="43"/>
    </row>
    <row r="368" spans="1:6" x14ac:dyDescent="0.25">
      <c r="A368" s="43"/>
      <c r="B368" s="43"/>
      <c r="C368" s="44"/>
      <c r="D368" s="43"/>
      <c r="E368" s="43"/>
      <c r="F368" s="43"/>
    </row>
    <row r="369" spans="1:6" x14ac:dyDescent="0.25">
      <c r="A369" s="43"/>
      <c r="B369" s="43"/>
      <c r="C369" s="44"/>
      <c r="D369" s="43"/>
      <c r="E369" s="43"/>
      <c r="F369" s="43"/>
    </row>
    <row r="370" spans="1:6" x14ac:dyDescent="0.25">
      <c r="A370" s="43"/>
      <c r="B370" s="43"/>
      <c r="C370" s="44"/>
      <c r="D370" s="43"/>
      <c r="E370" s="43"/>
      <c r="F370" s="43"/>
    </row>
    <row r="371" spans="1:6" x14ac:dyDescent="0.25">
      <c r="A371" s="43"/>
      <c r="B371" s="43"/>
      <c r="C371" s="44"/>
      <c r="D371" s="43"/>
      <c r="E371" s="43"/>
      <c r="F371" s="43"/>
    </row>
    <row r="372" spans="1:6" x14ac:dyDescent="0.25">
      <c r="A372" s="43"/>
      <c r="B372" s="43"/>
      <c r="C372" s="44"/>
      <c r="D372" s="43"/>
      <c r="E372" s="43"/>
      <c r="F372" s="43"/>
    </row>
    <row r="373" spans="1:6" x14ac:dyDescent="0.25">
      <c r="A373" s="43"/>
      <c r="B373" s="43"/>
      <c r="C373" s="44"/>
      <c r="D373" s="43"/>
      <c r="E373" s="43"/>
      <c r="F373" s="43"/>
    </row>
    <row r="374" spans="1:6" x14ac:dyDescent="0.25">
      <c r="A374" s="43"/>
      <c r="B374" s="43"/>
      <c r="C374" s="44"/>
      <c r="D374" s="43"/>
      <c r="E374" s="43"/>
      <c r="F374" s="43"/>
    </row>
    <row r="375" spans="1:6" x14ac:dyDescent="0.25">
      <c r="A375" s="43"/>
      <c r="B375" s="43"/>
      <c r="C375" s="44"/>
      <c r="D375" s="43"/>
      <c r="E375" s="43"/>
      <c r="F375" s="43"/>
    </row>
    <row r="376" spans="1:6" x14ac:dyDescent="0.25">
      <c r="A376" s="43"/>
      <c r="B376" s="43"/>
      <c r="C376" s="44"/>
      <c r="D376" s="43"/>
      <c r="E376" s="43"/>
      <c r="F376" s="43"/>
    </row>
    <row r="377" spans="1:6" x14ac:dyDescent="0.25">
      <c r="A377" s="43"/>
      <c r="B377" s="43"/>
      <c r="C377" s="44"/>
      <c r="D377" s="43"/>
      <c r="E377" s="43"/>
      <c r="F377" s="43"/>
    </row>
    <row r="378" spans="1:6" x14ac:dyDescent="0.25">
      <c r="A378" s="43"/>
      <c r="B378" s="43"/>
      <c r="C378" s="44"/>
      <c r="D378" s="43"/>
      <c r="E378" s="43"/>
      <c r="F378" s="43"/>
    </row>
    <row r="379" spans="1:6" x14ac:dyDescent="0.25">
      <c r="A379" s="43"/>
      <c r="B379" s="43"/>
      <c r="C379" s="44"/>
      <c r="D379" s="43"/>
      <c r="E379" s="43"/>
      <c r="F379" s="43"/>
    </row>
    <row r="380" spans="1:6" x14ac:dyDescent="0.25">
      <c r="A380" s="43"/>
      <c r="B380" s="43"/>
      <c r="C380" s="44"/>
      <c r="D380" s="43"/>
      <c r="E380" s="43"/>
      <c r="F380" s="43"/>
    </row>
    <row r="381" spans="1:6" x14ac:dyDescent="0.25">
      <c r="A381" s="43"/>
      <c r="B381" s="43"/>
      <c r="C381" s="44"/>
      <c r="D381" s="43"/>
      <c r="E381" s="43"/>
      <c r="F381" s="43"/>
    </row>
    <row r="382" spans="1:6" x14ac:dyDescent="0.25">
      <c r="A382" s="43"/>
      <c r="B382" s="43"/>
      <c r="C382" s="44"/>
      <c r="D382" s="43"/>
      <c r="E382" s="43"/>
      <c r="F382" s="43"/>
    </row>
    <row r="383" spans="1:6" x14ac:dyDescent="0.25">
      <c r="A383" s="43"/>
      <c r="B383" s="43"/>
      <c r="C383" s="44"/>
      <c r="D383" s="43"/>
      <c r="E383" s="43"/>
      <c r="F383" s="43"/>
    </row>
    <row r="384" spans="1:6" x14ac:dyDescent="0.25">
      <c r="A384" s="43"/>
      <c r="B384" s="43"/>
      <c r="C384" s="44"/>
      <c r="D384" s="43"/>
      <c r="E384" s="43"/>
      <c r="F384" s="43"/>
    </row>
    <row r="385" spans="1:6" x14ac:dyDescent="0.25">
      <c r="A385" s="43"/>
      <c r="B385" s="43"/>
      <c r="C385" s="44"/>
      <c r="D385" s="43"/>
      <c r="E385" s="43"/>
      <c r="F385" s="43"/>
    </row>
    <row r="386" spans="1:6" x14ac:dyDescent="0.25">
      <c r="A386" s="43"/>
      <c r="B386" s="43"/>
      <c r="C386" s="44"/>
      <c r="D386" s="43"/>
      <c r="E386" s="43"/>
      <c r="F386" s="43"/>
    </row>
    <row r="387" spans="1:6" x14ac:dyDescent="0.25">
      <c r="A387" s="43"/>
      <c r="B387" s="43"/>
      <c r="C387" s="44"/>
      <c r="D387" s="43"/>
      <c r="E387" s="43"/>
      <c r="F387" s="43"/>
    </row>
    <row r="388" spans="1:6" x14ac:dyDescent="0.25">
      <c r="A388" s="43"/>
      <c r="B388" s="43"/>
      <c r="C388" s="44"/>
      <c r="D388" s="43"/>
      <c r="E388" s="43"/>
      <c r="F388" s="43"/>
    </row>
    <row r="389" spans="1:6" x14ac:dyDescent="0.25">
      <c r="A389" s="43"/>
      <c r="B389" s="43"/>
      <c r="C389" s="44"/>
      <c r="D389" s="43"/>
      <c r="E389" s="43"/>
      <c r="F389" s="43"/>
    </row>
    <row r="390" spans="1:6" x14ac:dyDescent="0.25">
      <c r="A390" s="43"/>
      <c r="B390" s="43"/>
      <c r="C390" s="44"/>
      <c r="D390" s="43"/>
      <c r="E390" s="43"/>
      <c r="F390" s="43"/>
    </row>
    <row r="391" spans="1:6" x14ac:dyDescent="0.25">
      <c r="A391" s="43"/>
      <c r="B391" s="43"/>
      <c r="C391" s="44"/>
      <c r="D391" s="43"/>
      <c r="E391" s="43"/>
      <c r="F391" s="43"/>
    </row>
    <row r="392" spans="1:6" x14ac:dyDescent="0.25">
      <c r="A392" s="43"/>
      <c r="B392" s="43"/>
      <c r="C392" s="44"/>
      <c r="D392" s="43"/>
      <c r="E392" s="43"/>
      <c r="F392" s="43"/>
    </row>
    <row r="393" spans="1:6" x14ac:dyDescent="0.25">
      <c r="A393" s="43"/>
      <c r="B393" s="43"/>
      <c r="C393" s="44"/>
      <c r="D393" s="43"/>
      <c r="E393" s="43"/>
      <c r="F393" s="43"/>
    </row>
    <row r="394" spans="1:6" x14ac:dyDescent="0.25">
      <c r="A394" s="43"/>
      <c r="B394" s="43"/>
      <c r="C394" s="44"/>
      <c r="D394" s="43"/>
      <c r="E394" s="43"/>
      <c r="F394" s="43"/>
    </row>
    <row r="395" spans="1:6" x14ac:dyDescent="0.25">
      <c r="A395" s="43"/>
      <c r="B395" s="43"/>
      <c r="C395" s="44"/>
      <c r="D395" s="43"/>
      <c r="E395" s="43"/>
      <c r="F395" s="43"/>
    </row>
    <row r="396" spans="1:6" x14ac:dyDescent="0.25">
      <c r="A396" s="43"/>
      <c r="B396" s="43"/>
      <c r="C396" s="44"/>
      <c r="D396" s="43"/>
      <c r="E396" s="43"/>
      <c r="F396" s="43"/>
    </row>
    <row r="397" spans="1:6" x14ac:dyDescent="0.25">
      <c r="A397" s="43"/>
      <c r="B397" s="43"/>
      <c r="C397" s="44"/>
      <c r="D397" s="43"/>
      <c r="E397" s="43"/>
      <c r="F397" s="43"/>
    </row>
    <row r="398" spans="1:6" x14ac:dyDescent="0.25">
      <c r="A398" s="43"/>
      <c r="B398" s="43"/>
      <c r="C398" s="44"/>
      <c r="D398" s="43"/>
      <c r="E398" s="43"/>
      <c r="F398" s="43"/>
    </row>
    <row r="399" spans="1:6" x14ac:dyDescent="0.25">
      <c r="A399" s="43"/>
      <c r="B399" s="43"/>
      <c r="C399" s="44"/>
      <c r="D399" s="43"/>
      <c r="E399" s="43"/>
      <c r="F399" s="43"/>
    </row>
    <row r="400" spans="1:6" x14ac:dyDescent="0.25">
      <c r="A400" s="43"/>
      <c r="B400" s="43"/>
      <c r="C400" s="44"/>
      <c r="D400" s="43"/>
      <c r="E400" s="43"/>
      <c r="F400" s="43"/>
    </row>
    <row r="401" spans="1:6" x14ac:dyDescent="0.25">
      <c r="A401" s="43"/>
      <c r="B401" s="43"/>
      <c r="C401" s="44"/>
      <c r="D401" s="43"/>
      <c r="E401" s="43"/>
      <c r="F401" s="43"/>
    </row>
    <row r="402" spans="1:6" x14ac:dyDescent="0.25">
      <c r="A402" s="43"/>
      <c r="B402" s="43"/>
      <c r="C402" s="44"/>
      <c r="D402" s="43"/>
      <c r="E402" s="43"/>
      <c r="F402" s="43"/>
    </row>
    <row r="403" spans="1:6" x14ac:dyDescent="0.25">
      <c r="A403" s="43"/>
      <c r="B403" s="43"/>
      <c r="C403" s="44"/>
      <c r="D403" s="43"/>
      <c r="E403" s="43"/>
      <c r="F403" s="43"/>
    </row>
    <row r="404" spans="1:6" x14ac:dyDescent="0.25">
      <c r="A404" s="43"/>
      <c r="B404" s="43"/>
      <c r="C404" s="44"/>
      <c r="D404" s="43"/>
      <c r="E404" s="43"/>
      <c r="F404" s="43"/>
    </row>
    <row r="405" spans="1:6" x14ac:dyDescent="0.25">
      <c r="A405" s="43"/>
      <c r="B405" s="43"/>
      <c r="C405" s="44"/>
      <c r="D405" s="43"/>
      <c r="E405" s="43"/>
      <c r="F405" s="43"/>
    </row>
    <row r="406" spans="1:6" x14ac:dyDescent="0.25">
      <c r="A406" s="43"/>
      <c r="B406" s="43"/>
      <c r="C406" s="44"/>
      <c r="D406" s="43"/>
      <c r="E406" s="43"/>
      <c r="F406" s="43"/>
    </row>
    <row r="407" spans="1:6" x14ac:dyDescent="0.25">
      <c r="A407" s="43"/>
      <c r="B407" s="43"/>
      <c r="C407" s="44"/>
      <c r="D407" s="43"/>
      <c r="E407" s="43"/>
      <c r="F407" s="43"/>
    </row>
    <row r="408" spans="1:6" x14ac:dyDescent="0.25">
      <c r="A408" s="43"/>
      <c r="B408" s="43"/>
      <c r="C408" s="44"/>
      <c r="D408" s="43"/>
      <c r="E408" s="43"/>
      <c r="F408" s="43"/>
    </row>
    <row r="409" spans="1:6" x14ac:dyDescent="0.25">
      <c r="A409" s="43"/>
      <c r="B409" s="43"/>
      <c r="C409" s="44"/>
      <c r="D409" s="43"/>
      <c r="E409" s="43"/>
      <c r="F409" s="43"/>
    </row>
    <row r="410" spans="1:6" x14ac:dyDescent="0.25">
      <c r="A410" s="43"/>
      <c r="B410" s="43"/>
      <c r="C410" s="44"/>
      <c r="D410" s="43"/>
      <c r="E410" s="43"/>
      <c r="F410" s="43"/>
    </row>
    <row r="411" spans="1:6" x14ac:dyDescent="0.25">
      <c r="A411" s="43"/>
      <c r="B411" s="43"/>
      <c r="C411" s="44"/>
      <c r="D411" s="43"/>
      <c r="E411" s="43"/>
      <c r="F411" s="43"/>
    </row>
    <row r="412" spans="1:6" x14ac:dyDescent="0.25">
      <c r="A412" s="43"/>
      <c r="B412" s="43"/>
      <c r="C412" s="44"/>
      <c r="D412" s="43"/>
      <c r="E412" s="43"/>
      <c r="F412" s="43"/>
    </row>
    <row r="413" spans="1:6" x14ac:dyDescent="0.25">
      <c r="A413" s="43"/>
      <c r="B413" s="43"/>
      <c r="C413" s="44"/>
      <c r="D413" s="43"/>
      <c r="E413" s="43"/>
      <c r="F413" s="43"/>
    </row>
    <row r="414" spans="1:6" x14ac:dyDescent="0.25">
      <c r="A414" s="43"/>
      <c r="B414" s="43"/>
      <c r="C414" s="44"/>
      <c r="D414" s="43"/>
      <c r="E414" s="43"/>
      <c r="F414" s="43"/>
    </row>
    <row r="415" spans="1:6" x14ac:dyDescent="0.25">
      <c r="A415" s="43"/>
      <c r="B415" s="43"/>
      <c r="C415" s="44"/>
      <c r="D415" s="43"/>
      <c r="E415" s="43"/>
      <c r="F415" s="43"/>
    </row>
    <row r="416" spans="1:6" x14ac:dyDescent="0.25">
      <c r="A416" s="43"/>
      <c r="B416" s="43"/>
      <c r="C416" s="44"/>
      <c r="D416" s="43"/>
      <c r="E416" s="43"/>
      <c r="F416" s="43"/>
    </row>
    <row r="417" spans="1:6" x14ac:dyDescent="0.25">
      <c r="A417" s="43"/>
      <c r="B417" s="43"/>
      <c r="C417" s="44"/>
      <c r="D417" s="43"/>
      <c r="E417" s="43"/>
      <c r="F417" s="43"/>
    </row>
    <row r="418" spans="1:6" x14ac:dyDescent="0.25">
      <c r="A418" s="43"/>
      <c r="B418" s="43"/>
      <c r="C418" s="44"/>
      <c r="D418" s="43"/>
      <c r="E418" s="43"/>
      <c r="F418" s="43"/>
    </row>
    <row r="419" spans="1:6" x14ac:dyDescent="0.25">
      <c r="A419" s="43"/>
      <c r="B419" s="43"/>
      <c r="C419" s="44"/>
      <c r="D419" s="43"/>
      <c r="E419" s="43"/>
      <c r="F419" s="43"/>
    </row>
    <row r="420" spans="1:6" x14ac:dyDescent="0.25">
      <c r="A420" s="43"/>
      <c r="B420" s="43"/>
      <c r="C420" s="44"/>
      <c r="D420" s="43"/>
      <c r="E420" s="43"/>
      <c r="F420" s="43"/>
    </row>
    <row r="421" spans="1:6" x14ac:dyDescent="0.25">
      <c r="A421" s="43"/>
      <c r="B421" s="43"/>
      <c r="C421" s="44"/>
      <c r="D421" s="43"/>
      <c r="E421" s="43"/>
      <c r="F421" s="43"/>
    </row>
    <row r="422" spans="1:6" x14ac:dyDescent="0.25">
      <c r="A422" s="43"/>
      <c r="B422" s="43"/>
      <c r="C422" s="44"/>
      <c r="D422" s="43"/>
      <c r="E422" s="43"/>
      <c r="F422" s="43"/>
    </row>
    <row r="423" spans="1:6" x14ac:dyDescent="0.25">
      <c r="A423" s="43"/>
      <c r="B423" s="43"/>
      <c r="C423" s="44"/>
      <c r="D423" s="43"/>
      <c r="E423" s="43"/>
      <c r="F423" s="43"/>
    </row>
    <row r="424" spans="1:6" x14ac:dyDescent="0.25">
      <c r="A424" s="43"/>
      <c r="B424" s="43"/>
      <c r="C424" s="44"/>
      <c r="D424" s="43"/>
      <c r="E424" s="43"/>
      <c r="F424" s="43"/>
    </row>
    <row r="425" spans="1:6" x14ac:dyDescent="0.25">
      <c r="A425" s="43"/>
      <c r="B425" s="43"/>
      <c r="C425" s="44"/>
      <c r="D425" s="43"/>
      <c r="E425" s="43"/>
      <c r="F425" s="43"/>
    </row>
    <row r="426" spans="1:6" x14ac:dyDescent="0.25">
      <c r="A426" s="43"/>
      <c r="B426" s="43"/>
      <c r="C426" s="44"/>
      <c r="D426" s="43"/>
      <c r="E426" s="43"/>
      <c r="F426" s="43"/>
    </row>
    <row r="427" spans="1:6" x14ac:dyDescent="0.25">
      <c r="A427" s="43"/>
      <c r="B427" s="43"/>
      <c r="C427" s="44"/>
      <c r="D427" s="43"/>
      <c r="E427" s="43"/>
      <c r="F427" s="43"/>
    </row>
    <row r="428" spans="1:6" x14ac:dyDescent="0.25">
      <c r="A428" s="43"/>
      <c r="B428" s="43"/>
      <c r="C428" s="44"/>
      <c r="D428" s="43"/>
      <c r="E428" s="43"/>
      <c r="F428" s="43"/>
    </row>
    <row r="429" spans="1:6" x14ac:dyDescent="0.25">
      <c r="A429" s="43"/>
      <c r="B429" s="43"/>
      <c r="C429" s="44"/>
      <c r="D429" s="43"/>
      <c r="E429" s="43"/>
      <c r="F429" s="43"/>
    </row>
    <row r="430" spans="1:6" x14ac:dyDescent="0.25">
      <c r="A430" s="43"/>
      <c r="B430" s="43"/>
      <c r="C430" s="44"/>
      <c r="D430" s="43"/>
      <c r="E430" s="43"/>
      <c r="F430" s="43"/>
    </row>
    <row r="431" spans="1:6" x14ac:dyDescent="0.25">
      <c r="A431" s="43"/>
      <c r="B431" s="43"/>
      <c r="C431" s="44"/>
      <c r="D431" s="43"/>
      <c r="E431" s="43"/>
      <c r="F431" s="43"/>
    </row>
    <row r="432" spans="1:6" x14ac:dyDescent="0.25">
      <c r="A432" s="43"/>
      <c r="B432" s="43"/>
      <c r="C432" s="44"/>
      <c r="D432" s="43"/>
      <c r="E432" s="43"/>
      <c r="F432" s="43"/>
    </row>
    <row r="433" spans="1:6" x14ac:dyDescent="0.25">
      <c r="A433" s="43"/>
      <c r="B433" s="43"/>
      <c r="C433" s="44"/>
      <c r="D433" s="43"/>
      <c r="E433" s="43"/>
      <c r="F433" s="43"/>
    </row>
    <row r="434" spans="1:6" x14ac:dyDescent="0.25">
      <c r="A434" s="43"/>
      <c r="B434" s="43"/>
      <c r="C434" s="44"/>
      <c r="D434" s="43"/>
      <c r="E434" s="43"/>
      <c r="F434" s="43"/>
    </row>
    <row r="435" spans="1:6" x14ac:dyDescent="0.25">
      <c r="A435" s="43"/>
      <c r="B435" s="43"/>
      <c r="C435" s="44"/>
      <c r="D435" s="43"/>
      <c r="E435" s="43"/>
      <c r="F435" s="43"/>
    </row>
    <row r="436" spans="1:6" x14ac:dyDescent="0.25">
      <c r="A436" s="43"/>
      <c r="B436" s="43"/>
      <c r="C436" s="44"/>
      <c r="D436" s="43"/>
      <c r="E436" s="43"/>
      <c r="F436" s="43"/>
    </row>
    <row r="437" spans="1:6" x14ac:dyDescent="0.25">
      <c r="A437" s="43"/>
      <c r="B437" s="43"/>
      <c r="C437" s="44"/>
      <c r="D437" s="43"/>
      <c r="E437" s="43"/>
      <c r="F437" s="43"/>
    </row>
    <row r="438" spans="1:6" x14ac:dyDescent="0.25">
      <c r="A438" s="43"/>
      <c r="B438" s="43"/>
      <c r="C438" s="44"/>
      <c r="D438" s="43"/>
      <c r="E438" s="43"/>
      <c r="F438" s="43"/>
    </row>
    <row r="439" spans="1:6" x14ac:dyDescent="0.25">
      <c r="A439" s="43"/>
      <c r="B439" s="43"/>
      <c r="C439" s="44"/>
      <c r="D439" s="43"/>
      <c r="E439" s="43"/>
      <c r="F439" s="43"/>
    </row>
    <row r="440" spans="1:6" x14ac:dyDescent="0.25">
      <c r="A440" s="43"/>
      <c r="B440" s="43"/>
      <c r="C440" s="44"/>
      <c r="D440" s="43"/>
      <c r="E440" s="43"/>
      <c r="F440" s="43"/>
    </row>
    <row r="441" spans="1:6" x14ac:dyDescent="0.25">
      <c r="A441" s="43"/>
      <c r="B441" s="43"/>
      <c r="C441" s="44"/>
      <c r="D441" s="43"/>
      <c r="E441" s="43"/>
      <c r="F441" s="43"/>
    </row>
    <row r="442" spans="1:6" x14ac:dyDescent="0.25">
      <c r="A442" s="43"/>
      <c r="B442" s="43"/>
      <c r="C442" s="44"/>
      <c r="D442" s="43"/>
      <c r="E442" s="43"/>
      <c r="F442" s="43"/>
    </row>
    <row r="443" spans="1:6" x14ac:dyDescent="0.25">
      <c r="A443" s="43"/>
      <c r="B443" s="43"/>
      <c r="C443" s="44"/>
      <c r="D443" s="43"/>
      <c r="E443" s="43"/>
      <c r="F443" s="43"/>
    </row>
    <row r="444" spans="1:6" x14ac:dyDescent="0.25">
      <c r="A444" s="43"/>
      <c r="B444" s="43"/>
      <c r="C444" s="44"/>
      <c r="D444" s="43"/>
      <c r="E444" s="43"/>
      <c r="F444" s="43"/>
    </row>
    <row r="445" spans="1:6" x14ac:dyDescent="0.25">
      <c r="A445" s="43"/>
      <c r="B445" s="43"/>
      <c r="C445" s="44"/>
      <c r="D445" s="43"/>
      <c r="E445" s="43"/>
      <c r="F445" s="43"/>
    </row>
    <row r="446" spans="1:6" x14ac:dyDescent="0.25">
      <c r="A446" s="43"/>
      <c r="B446" s="43"/>
      <c r="C446" s="44"/>
      <c r="D446" s="43"/>
      <c r="E446" s="43"/>
      <c r="F446" s="43"/>
    </row>
    <row r="447" spans="1:6" x14ac:dyDescent="0.25">
      <c r="A447" s="43"/>
      <c r="B447" s="43"/>
      <c r="C447" s="44"/>
      <c r="D447" s="43"/>
      <c r="E447" s="43"/>
      <c r="F447" s="43"/>
    </row>
    <row r="448" spans="1:6" x14ac:dyDescent="0.25">
      <c r="A448" s="43"/>
      <c r="B448" s="43"/>
      <c r="C448" s="44"/>
      <c r="D448" s="43"/>
      <c r="E448" s="43"/>
      <c r="F448" s="43"/>
    </row>
    <row r="449" spans="1:6" x14ac:dyDescent="0.25">
      <c r="A449" s="43"/>
      <c r="B449" s="43"/>
      <c r="C449" s="44"/>
      <c r="D449" s="43"/>
      <c r="E449" s="43"/>
      <c r="F449" s="43"/>
    </row>
    <row r="450" spans="1:6" x14ac:dyDescent="0.25">
      <c r="A450" s="43"/>
      <c r="B450" s="43"/>
      <c r="C450" s="44"/>
      <c r="D450" s="43"/>
      <c r="E450" s="43"/>
      <c r="F450" s="43"/>
    </row>
    <row r="451" spans="1:6" x14ac:dyDescent="0.25">
      <c r="A451" s="43"/>
      <c r="B451" s="43"/>
      <c r="C451" s="44"/>
      <c r="D451" s="43"/>
      <c r="E451" s="43"/>
      <c r="F451" s="43"/>
    </row>
    <row r="452" spans="1:6" x14ac:dyDescent="0.25">
      <c r="A452" s="43"/>
      <c r="B452" s="43"/>
      <c r="C452" s="44"/>
      <c r="D452" s="43"/>
      <c r="E452" s="43"/>
      <c r="F452" s="43"/>
    </row>
    <row r="453" spans="1:6" x14ac:dyDescent="0.25">
      <c r="A453" s="43"/>
      <c r="B453" s="43"/>
      <c r="C453" s="44"/>
      <c r="D453" s="43"/>
      <c r="E453" s="43"/>
      <c r="F453" s="43"/>
    </row>
    <row r="454" spans="1:6" x14ac:dyDescent="0.25">
      <c r="A454" s="43"/>
      <c r="B454" s="43"/>
      <c r="C454" s="44"/>
      <c r="D454" s="43"/>
      <c r="E454" s="43"/>
      <c r="F454" s="43"/>
    </row>
    <row r="455" spans="1:6" x14ac:dyDescent="0.25">
      <c r="A455" s="43"/>
      <c r="B455" s="43"/>
      <c r="C455" s="44"/>
      <c r="D455" s="43"/>
      <c r="E455" s="43"/>
      <c r="F455" s="43"/>
    </row>
    <row r="456" spans="1:6" x14ac:dyDescent="0.25">
      <c r="A456" s="43"/>
      <c r="B456" s="43"/>
      <c r="C456" s="44"/>
      <c r="D456" s="43"/>
      <c r="E456" s="43"/>
      <c r="F456" s="43"/>
    </row>
    <row r="457" spans="1:6" x14ac:dyDescent="0.25">
      <c r="A457" s="43"/>
      <c r="B457" s="43"/>
      <c r="C457" s="44"/>
      <c r="D457" s="43"/>
      <c r="E457" s="43"/>
      <c r="F457" s="43"/>
    </row>
    <row r="458" spans="1:6" x14ac:dyDescent="0.25">
      <c r="A458" s="43"/>
      <c r="B458" s="43"/>
      <c r="C458" s="44"/>
      <c r="D458" s="43"/>
      <c r="E458" s="43"/>
      <c r="F458" s="43"/>
    </row>
    <row r="459" spans="1:6" x14ac:dyDescent="0.25">
      <c r="A459" s="43"/>
      <c r="B459" s="43"/>
      <c r="C459" s="44"/>
      <c r="D459" s="43"/>
      <c r="E459" s="43"/>
      <c r="F459" s="43"/>
    </row>
    <row r="460" spans="1:6" x14ac:dyDescent="0.25">
      <c r="A460" s="43"/>
      <c r="B460" s="43"/>
      <c r="C460" s="44"/>
      <c r="D460" s="43"/>
      <c r="E460" s="43"/>
      <c r="F460" s="43"/>
    </row>
    <row r="461" spans="1:6" x14ac:dyDescent="0.25">
      <c r="A461" s="43"/>
      <c r="B461" s="43"/>
      <c r="C461" s="44"/>
      <c r="D461" s="43"/>
      <c r="E461" s="43"/>
      <c r="F461" s="43"/>
    </row>
    <row r="462" spans="1:6" x14ac:dyDescent="0.25">
      <c r="A462" s="43"/>
      <c r="B462" s="43"/>
      <c r="C462" s="44"/>
      <c r="D462" s="43"/>
      <c r="E462" s="43"/>
      <c r="F462" s="43"/>
    </row>
    <row r="463" spans="1:6" x14ac:dyDescent="0.25">
      <c r="A463" s="43"/>
      <c r="B463" s="43"/>
      <c r="C463" s="44"/>
      <c r="D463" s="43"/>
      <c r="E463" s="43"/>
      <c r="F463" s="43"/>
    </row>
    <row r="464" spans="1:6" x14ac:dyDescent="0.25">
      <c r="A464" s="43"/>
      <c r="B464" s="43"/>
      <c r="C464" s="44"/>
      <c r="D464" s="43"/>
      <c r="E464" s="43"/>
      <c r="F464" s="43"/>
    </row>
    <row r="465" spans="1:6" x14ac:dyDescent="0.25">
      <c r="A465" s="43"/>
      <c r="B465" s="43"/>
      <c r="C465" s="44"/>
      <c r="D465" s="43"/>
      <c r="E465" s="43"/>
      <c r="F465" s="43"/>
    </row>
    <row r="466" spans="1:6" x14ac:dyDescent="0.25">
      <c r="A466" s="43"/>
      <c r="B466" s="43"/>
      <c r="C466" s="44"/>
      <c r="D466" s="43"/>
      <c r="E466" s="43"/>
      <c r="F466" s="43"/>
    </row>
    <row r="467" spans="1:6" x14ac:dyDescent="0.25">
      <c r="A467" s="43"/>
      <c r="B467" s="43"/>
      <c r="C467" s="44"/>
      <c r="D467" s="43"/>
      <c r="E467" s="43"/>
      <c r="F467" s="43"/>
    </row>
    <row r="468" spans="1:6" x14ac:dyDescent="0.25">
      <c r="A468" s="43"/>
      <c r="B468" s="43"/>
      <c r="C468" s="44"/>
      <c r="D468" s="43"/>
      <c r="E468" s="43"/>
      <c r="F468" s="43"/>
    </row>
    <row r="469" spans="1:6" x14ac:dyDescent="0.25">
      <c r="A469" s="43"/>
      <c r="B469" s="43"/>
      <c r="C469" s="44"/>
      <c r="D469" s="43"/>
      <c r="E469" s="43"/>
      <c r="F469" s="43"/>
    </row>
    <row r="470" spans="1:6" x14ac:dyDescent="0.25">
      <c r="A470" s="43"/>
      <c r="B470" s="43"/>
      <c r="C470" s="44"/>
      <c r="D470" s="43"/>
      <c r="E470" s="43"/>
      <c r="F470" s="43"/>
    </row>
    <row r="471" spans="1:6" x14ac:dyDescent="0.25">
      <c r="A471" s="43"/>
      <c r="B471" s="43"/>
      <c r="C471" s="44"/>
      <c r="D471" s="43"/>
      <c r="E471" s="43"/>
      <c r="F471" s="43"/>
    </row>
    <row r="472" spans="1:6" x14ac:dyDescent="0.25">
      <c r="A472" s="43"/>
      <c r="B472" s="43"/>
      <c r="C472" s="44"/>
      <c r="D472" s="43"/>
      <c r="E472" s="43"/>
      <c r="F472" s="43"/>
    </row>
    <row r="473" spans="1:6" x14ac:dyDescent="0.25">
      <c r="A473" s="43"/>
      <c r="B473" s="43"/>
      <c r="C473" s="44"/>
      <c r="D473" s="43"/>
      <c r="E473" s="43"/>
      <c r="F473" s="43"/>
    </row>
    <row r="474" spans="1:6" x14ac:dyDescent="0.25">
      <c r="A474" s="43"/>
      <c r="B474" s="43"/>
      <c r="C474" s="44"/>
      <c r="D474" s="43"/>
      <c r="E474" s="43"/>
      <c r="F474" s="43"/>
    </row>
    <row r="475" spans="1:6" x14ac:dyDescent="0.25">
      <c r="A475" s="43"/>
      <c r="B475" s="43"/>
      <c r="C475" s="44"/>
      <c r="D475" s="43"/>
      <c r="E475" s="43"/>
      <c r="F475" s="43"/>
    </row>
    <row r="476" spans="1:6" x14ac:dyDescent="0.25">
      <c r="A476" s="43"/>
      <c r="B476" s="43"/>
      <c r="C476" s="44"/>
      <c r="D476" s="43"/>
      <c r="E476" s="43"/>
      <c r="F476" s="43"/>
    </row>
    <row r="477" spans="1:6" x14ac:dyDescent="0.25">
      <c r="A477" s="43"/>
      <c r="B477" s="43"/>
      <c r="C477" s="44"/>
      <c r="D477" s="43"/>
      <c r="E477" s="43"/>
      <c r="F477" s="43"/>
    </row>
    <row r="478" spans="1:6" x14ac:dyDescent="0.25">
      <c r="A478" s="43"/>
      <c r="B478" s="43"/>
      <c r="C478" s="44"/>
      <c r="D478" s="43"/>
      <c r="E478" s="43"/>
      <c r="F478" s="43"/>
    </row>
    <row r="479" spans="1:6" x14ac:dyDescent="0.25">
      <c r="A479" s="43"/>
      <c r="B479" s="43"/>
      <c r="C479" s="44"/>
      <c r="D479" s="43"/>
      <c r="E479" s="43"/>
      <c r="F479" s="43"/>
    </row>
    <row r="480" spans="1:6" x14ac:dyDescent="0.25">
      <c r="A480" s="43"/>
      <c r="B480" s="43"/>
      <c r="C480" s="44"/>
      <c r="D480" s="43"/>
      <c r="E480" s="43"/>
      <c r="F480" s="43"/>
    </row>
    <row r="481" spans="1:6" x14ac:dyDescent="0.25">
      <c r="A481" s="43"/>
      <c r="B481" s="43"/>
      <c r="C481" s="44"/>
      <c r="D481" s="43"/>
      <c r="E481" s="43"/>
      <c r="F481" s="43"/>
    </row>
    <row r="482" spans="1:6" x14ac:dyDescent="0.25">
      <c r="A482" s="43"/>
      <c r="B482" s="43"/>
      <c r="C482" s="44"/>
      <c r="D482" s="43"/>
      <c r="E482" s="43"/>
      <c r="F482" s="43"/>
    </row>
    <row r="483" spans="1:6" x14ac:dyDescent="0.25">
      <c r="A483" s="43"/>
      <c r="B483" s="43"/>
      <c r="C483" s="44"/>
      <c r="D483" s="43"/>
      <c r="E483" s="43"/>
      <c r="F483" s="43"/>
    </row>
    <row r="484" spans="1:6" x14ac:dyDescent="0.25">
      <c r="A484" s="43"/>
      <c r="B484" s="43"/>
      <c r="C484" s="44"/>
      <c r="D484" s="43"/>
      <c r="E484" s="43"/>
      <c r="F484" s="43"/>
    </row>
    <row r="485" spans="1:6" x14ac:dyDescent="0.25">
      <c r="A485" s="43"/>
      <c r="B485" s="43"/>
      <c r="C485" s="44"/>
      <c r="D485" s="43"/>
      <c r="E485" s="43"/>
      <c r="F485" s="43"/>
    </row>
    <row r="486" spans="1:6" x14ac:dyDescent="0.25">
      <c r="A486" s="43"/>
      <c r="B486" s="43"/>
      <c r="C486" s="44"/>
      <c r="D486" s="43"/>
      <c r="E486" s="43"/>
      <c r="F486" s="43"/>
    </row>
    <row r="487" spans="1:6" x14ac:dyDescent="0.25">
      <c r="A487" s="43"/>
      <c r="B487" s="43"/>
      <c r="C487" s="44"/>
      <c r="D487" s="43"/>
      <c r="E487" s="43"/>
      <c r="F487" s="43"/>
    </row>
    <row r="488" spans="1:6" x14ac:dyDescent="0.25">
      <c r="A488" s="43"/>
      <c r="B488" s="43"/>
      <c r="C488" s="44"/>
      <c r="D488" s="43"/>
      <c r="E488" s="43"/>
      <c r="F488" s="43"/>
    </row>
    <row r="489" spans="1:6" x14ac:dyDescent="0.25">
      <c r="A489" s="43"/>
      <c r="B489" s="43"/>
      <c r="C489" s="44"/>
      <c r="D489" s="43"/>
      <c r="E489" s="43"/>
      <c r="F489" s="43"/>
    </row>
    <row r="490" spans="1:6" x14ac:dyDescent="0.25">
      <c r="A490" s="43"/>
      <c r="B490" s="43"/>
      <c r="C490" s="44"/>
      <c r="D490" s="43"/>
      <c r="E490" s="43"/>
      <c r="F490" s="43"/>
    </row>
    <row r="491" spans="1:6" x14ac:dyDescent="0.25">
      <c r="A491" s="43"/>
      <c r="B491" s="43"/>
      <c r="C491" s="44"/>
      <c r="D491" s="43"/>
      <c r="E491" s="43"/>
      <c r="F491" s="43"/>
    </row>
    <row r="492" spans="1:6" x14ac:dyDescent="0.25">
      <c r="A492" s="43"/>
      <c r="B492" s="43"/>
      <c r="C492" s="44"/>
      <c r="D492" s="43"/>
      <c r="E492" s="43"/>
      <c r="F492" s="43"/>
    </row>
    <row r="493" spans="1:6" x14ac:dyDescent="0.25">
      <c r="A493" s="43"/>
      <c r="B493" s="43"/>
      <c r="C493" s="44"/>
      <c r="D493" s="43"/>
      <c r="E493" s="43"/>
      <c r="F493" s="43"/>
    </row>
    <row r="494" spans="1:6" x14ac:dyDescent="0.25">
      <c r="A494" s="43"/>
      <c r="B494" s="43"/>
      <c r="C494" s="44"/>
      <c r="D494" s="43"/>
      <c r="E494" s="43"/>
      <c r="F494" s="43"/>
    </row>
    <row r="495" spans="1:6" x14ac:dyDescent="0.25">
      <c r="A495" s="43"/>
      <c r="B495" s="43"/>
      <c r="C495" s="44"/>
      <c r="D495" s="43"/>
      <c r="E495" s="43"/>
      <c r="F495" s="43"/>
    </row>
    <row r="496" spans="1:6" x14ac:dyDescent="0.25">
      <c r="A496" s="43"/>
      <c r="B496" s="43"/>
      <c r="C496" s="44"/>
      <c r="D496" s="43"/>
      <c r="E496" s="43"/>
      <c r="F496" s="43"/>
    </row>
    <row r="497" spans="1:6" x14ac:dyDescent="0.25">
      <c r="A497" s="43"/>
      <c r="B497" s="43"/>
      <c r="C497" s="44"/>
      <c r="D497" s="43"/>
      <c r="E497" s="43"/>
      <c r="F497" s="43"/>
    </row>
    <row r="498" spans="1:6" x14ac:dyDescent="0.25">
      <c r="A498" s="43"/>
      <c r="B498" s="43"/>
      <c r="C498" s="44"/>
      <c r="D498" s="43"/>
      <c r="E498" s="43"/>
      <c r="F498" s="43"/>
    </row>
    <row r="499" spans="1:6" x14ac:dyDescent="0.25">
      <c r="A499" s="43"/>
      <c r="B499" s="43"/>
      <c r="C499" s="44"/>
      <c r="D499" s="43"/>
      <c r="E499" s="43"/>
      <c r="F499" s="43"/>
    </row>
    <row r="500" spans="1:6" x14ac:dyDescent="0.25">
      <c r="A500" s="43"/>
      <c r="B500" s="43"/>
      <c r="C500" s="44"/>
      <c r="D500" s="43"/>
      <c r="E500" s="43"/>
      <c r="F500" s="43"/>
    </row>
  </sheetData>
  <mergeCells count="1">
    <mergeCell ref="A1:F1"/>
  </mergeCells>
  <phoneticPr fontId="32" type="noConversion"/>
  <conditionalFormatting sqref="A4:F500">
    <cfRule type="expression" dxfId="8" priority="1" stopIfTrue="1">
      <formula>$F4="OUT"</formula>
    </cfRule>
    <cfRule type="expression" dxfId="7" priority="2" stopIfTrue="1">
      <formula>$F4="NON AKTIF"</formula>
    </cfRule>
    <cfRule type="expression" dxfId="6" priority="3" stopIfTrue="1">
      <formula>$F4="CUTI"</formula>
    </cfRule>
    <cfRule type="expression" dxfId="5" priority="4" stopIfTrue="1">
      <formula>$F4="RESIGN"</formula>
    </cfRule>
  </conditionalFormatting>
  <conditionalFormatting sqref="F4:F500">
    <cfRule type="cellIs" dxfId="4" priority="5" stopIfTrue="1" operator="equal">
      <formula>"AKTIF"</formula>
    </cfRule>
    <cfRule type="cellIs" dxfId="3" priority="6" stopIfTrue="1" operator="equal">
      <formula>"OUT"</formula>
    </cfRule>
    <cfRule type="cellIs" dxfId="2" priority="7" stopIfTrue="1" operator="equal">
      <formula>"NON AKTIF"</formula>
    </cfRule>
    <cfRule type="cellIs" dxfId="1" priority="8" stopIfTrue="1" operator="equal">
      <formula>"CUTI"</formula>
    </cfRule>
    <cfRule type="cellIs" dxfId="0" priority="9" stopIfTrue="1" operator="equal">
      <formula>"RESIGN"</formula>
    </cfRule>
  </conditionalFormatting>
  <printOptions horizontalCentered="1"/>
  <pageMargins left="0.1181102362204724" right="0.1181102362204724" top="0.1181102362204724" bottom="0.1181102362204724" header="0.1181102362204724" footer="0.1181102362204724"/>
  <pageSetup paperSize="9" scale="86" fitToHeight="0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Status Tidak Valid" error="Mohon pilih status kepegawaian yang valid dari daftar dropdown." promptTitle="Status Kepegawaian" prompt="Pilih status kepegawaian karyawan dari daftar dropdown." xr:uid="{18699AC8-7052-4987-82CF-78F3E61495C6}">
          <x14:formula1>
            <xm:f>Pengaturan!$L$2:$L$6</xm:f>
          </x14:formula1>
          <xm:sqref>F4:F500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140625" bestFit="1" customWidth="1"/>
    <col min="2" max="2" width="15" bestFit="1" customWidth="1"/>
    <col min="6" max="6" width="13.5703125" bestFit="1" customWidth="1"/>
    <col min="7" max="7" width="22.5703125" bestFit="1" customWidth="1"/>
    <col min="9" max="9" width="16" customWidth="1"/>
    <col min="10" max="10" width="35" customWidth="1"/>
    <col min="12" max="12" width="24.7109375" customWidth="1"/>
    <col min="14" max="14" width="38.7109375" customWidth="1"/>
  </cols>
  <sheetData>
    <row r="1" spans="1:14" x14ac:dyDescent="0.25">
      <c r="A1" s="4" t="s">
        <v>119</v>
      </c>
      <c r="B1" s="4" t="s">
        <v>120</v>
      </c>
      <c r="D1" s="4" t="s">
        <v>121</v>
      </c>
      <c r="F1" s="4" t="s">
        <v>122</v>
      </c>
      <c r="G1" s="4" t="s">
        <v>123</v>
      </c>
      <c r="I1" s="9" t="s">
        <v>124</v>
      </c>
      <c r="J1" s="9" t="s">
        <v>125</v>
      </c>
      <c r="L1" s="15" t="s">
        <v>163</v>
      </c>
      <c r="N1" s="15" t="s">
        <v>212</v>
      </c>
    </row>
    <row r="2" spans="1:14" x14ac:dyDescent="0.25">
      <c r="A2" t="s">
        <v>126</v>
      </c>
      <c r="B2">
        <v>1</v>
      </c>
      <c r="D2">
        <v>2024</v>
      </c>
      <c r="F2" t="s">
        <v>4</v>
      </c>
      <c r="G2" t="s">
        <v>5</v>
      </c>
      <c r="I2" s="10">
        <f>DATE(2026,1,1)</f>
        <v>46023</v>
      </c>
      <c r="J2" s="11" t="s">
        <v>127</v>
      </c>
      <c r="L2" s="14" t="s">
        <v>31</v>
      </c>
      <c r="N2" s="60" t="s">
        <v>213</v>
      </c>
    </row>
    <row r="3" spans="1:14" x14ac:dyDescent="0.25">
      <c r="A3" t="s">
        <v>128</v>
      </c>
      <c r="B3">
        <v>2</v>
      </c>
      <c r="D3">
        <v>2025</v>
      </c>
      <c r="F3" t="s">
        <v>6</v>
      </c>
      <c r="G3" t="s">
        <v>7</v>
      </c>
      <c r="I3" s="10">
        <f>DATE(2026,1,16)</f>
        <v>46038</v>
      </c>
      <c r="J3" s="11" t="s">
        <v>129</v>
      </c>
      <c r="L3" s="13" t="s">
        <v>52</v>
      </c>
      <c r="N3" s="59" t="s">
        <v>214</v>
      </c>
    </row>
    <row r="4" spans="1:14" x14ac:dyDescent="0.25">
      <c r="A4" t="s">
        <v>130</v>
      </c>
      <c r="B4">
        <v>3</v>
      </c>
      <c r="D4">
        <v>2026</v>
      </c>
      <c r="F4" t="s">
        <v>8</v>
      </c>
      <c r="G4" t="s">
        <v>9</v>
      </c>
      <c r="I4" s="10">
        <f>DATE(2026,2,17)</f>
        <v>46070</v>
      </c>
      <c r="J4" s="11" t="s">
        <v>131</v>
      </c>
      <c r="L4" s="13" t="s">
        <v>164</v>
      </c>
      <c r="N4" s="59" t="s">
        <v>215</v>
      </c>
    </row>
    <row r="5" spans="1:14" x14ac:dyDescent="0.25">
      <c r="A5" t="s">
        <v>132</v>
      </c>
      <c r="B5">
        <v>4</v>
      </c>
      <c r="D5">
        <v>2027</v>
      </c>
      <c r="F5" t="s">
        <v>10</v>
      </c>
      <c r="G5" t="s">
        <v>133</v>
      </c>
      <c r="I5" s="10">
        <f>DATE(2026,3,21)</f>
        <v>46102</v>
      </c>
      <c r="J5" s="11" t="s">
        <v>134</v>
      </c>
      <c r="L5" s="13" t="s">
        <v>165</v>
      </c>
      <c r="N5" s="59" t="s">
        <v>216</v>
      </c>
    </row>
    <row r="6" spans="1:14" x14ac:dyDescent="0.25">
      <c r="A6" t="s">
        <v>135</v>
      </c>
      <c r="B6">
        <v>5</v>
      </c>
      <c r="D6">
        <v>2028</v>
      </c>
      <c r="F6" t="s">
        <v>12</v>
      </c>
      <c r="G6" t="s">
        <v>13</v>
      </c>
      <c r="I6" s="10">
        <f>DATE(2026,3,20)</f>
        <v>46101</v>
      </c>
      <c r="J6" s="11" t="s">
        <v>136</v>
      </c>
      <c r="L6" s="12" t="s">
        <v>166</v>
      </c>
      <c r="N6" s="59" t="s">
        <v>217</v>
      </c>
    </row>
    <row r="7" spans="1:14" x14ac:dyDescent="0.25">
      <c r="A7" t="s">
        <v>137</v>
      </c>
      <c r="B7">
        <v>6</v>
      </c>
      <c r="D7">
        <v>2029</v>
      </c>
      <c r="F7" t="s">
        <v>14</v>
      </c>
      <c r="G7" t="s">
        <v>138</v>
      </c>
      <c r="I7" s="10">
        <f>DATE(2026,3,21)</f>
        <v>46102</v>
      </c>
      <c r="J7" s="11" t="s">
        <v>139</v>
      </c>
      <c r="N7" s="58" t="s">
        <v>218</v>
      </c>
    </row>
    <row r="8" spans="1:14" x14ac:dyDescent="0.25">
      <c r="A8" t="s">
        <v>140</v>
      </c>
      <c r="B8">
        <v>7</v>
      </c>
      <c r="D8">
        <v>2030</v>
      </c>
      <c r="I8" s="10">
        <f>DATE(2026,4,3)</f>
        <v>46115</v>
      </c>
      <c r="J8" s="11" t="s">
        <v>141</v>
      </c>
    </row>
    <row r="9" spans="1:14" x14ac:dyDescent="0.25">
      <c r="A9" t="s">
        <v>17</v>
      </c>
      <c r="B9">
        <v>8</v>
      </c>
      <c r="I9" s="10">
        <f>DATE(2026,4,5)</f>
        <v>46117</v>
      </c>
      <c r="J9" s="11" t="s">
        <v>142</v>
      </c>
    </row>
    <row r="10" spans="1:14" x14ac:dyDescent="0.25">
      <c r="A10" t="s">
        <v>143</v>
      </c>
      <c r="B10">
        <v>9</v>
      </c>
      <c r="I10" s="10">
        <f>DATE(2026,5,1)</f>
        <v>46143</v>
      </c>
      <c r="J10" s="11" t="s">
        <v>144</v>
      </c>
    </row>
    <row r="11" spans="1:14" x14ac:dyDescent="0.25">
      <c r="A11" t="s">
        <v>145</v>
      </c>
      <c r="B11">
        <v>10</v>
      </c>
      <c r="I11" s="10">
        <f>DATE(2026,5,14)</f>
        <v>46156</v>
      </c>
      <c r="J11" s="11" t="s">
        <v>146</v>
      </c>
    </row>
    <row r="12" spans="1:14" x14ac:dyDescent="0.25">
      <c r="A12" t="s">
        <v>147</v>
      </c>
      <c r="B12">
        <v>11</v>
      </c>
      <c r="I12" s="10">
        <f>DATE(2026,5,27)</f>
        <v>46169</v>
      </c>
      <c r="J12" s="11" t="s">
        <v>148</v>
      </c>
    </row>
    <row r="13" spans="1:14" x14ac:dyDescent="0.25">
      <c r="A13" t="s">
        <v>149</v>
      </c>
      <c r="B13">
        <v>12</v>
      </c>
      <c r="I13" s="10">
        <f>DATE(2026,5,28)</f>
        <v>46170</v>
      </c>
      <c r="J13" s="11" t="s">
        <v>150</v>
      </c>
    </row>
    <row r="14" spans="1:14" x14ac:dyDescent="0.25">
      <c r="I14" s="10">
        <f>DATE(2026,6,1)</f>
        <v>46174</v>
      </c>
      <c r="J14" s="11" t="s">
        <v>151</v>
      </c>
    </row>
    <row r="15" spans="1:14" x14ac:dyDescent="0.25">
      <c r="I15" s="10">
        <f>DATE(2026,6,16)</f>
        <v>46189</v>
      </c>
      <c r="J15" s="11" t="s">
        <v>152</v>
      </c>
    </row>
    <row r="16" spans="1:14" x14ac:dyDescent="0.25">
      <c r="I16" s="10">
        <f>DATE(2026,8,17)</f>
        <v>46251</v>
      </c>
      <c r="J16" s="11" t="s">
        <v>153</v>
      </c>
    </row>
    <row r="17" spans="9:10" x14ac:dyDescent="0.25">
      <c r="I17" s="10">
        <f>DATE(2026,8,25)</f>
        <v>46259</v>
      </c>
      <c r="J17" s="11" t="s">
        <v>154</v>
      </c>
    </row>
    <row r="18" spans="9:10" x14ac:dyDescent="0.25">
      <c r="I18" s="10">
        <f>DATE(2026,12,25)</f>
        <v>46381</v>
      </c>
      <c r="J18" s="11" t="s">
        <v>155</v>
      </c>
    </row>
  </sheetData>
  <pageMargins left="0.75" right="0.75" top="1" bottom="1" header="0.5" footer="0.5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M26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2" max="2" width="24" customWidth="1"/>
    <col min="3" max="3" width="10" customWidth="1"/>
    <col min="4" max="5" width="14" customWidth="1"/>
  </cols>
  <sheetData>
    <row r="2" spans="2:5" ht="20.25" customHeight="1" x14ac:dyDescent="0.35">
      <c r="B2" s="3" t="s">
        <v>156</v>
      </c>
    </row>
    <row r="4" spans="2:5" ht="16.5" customHeight="1" x14ac:dyDescent="0.3">
      <c r="B4" s="1" t="s">
        <v>157</v>
      </c>
      <c r="C4" s="5" t="str">
        <f>'Absensi Bulanan'!E4</f>
        <v>August 2026</v>
      </c>
    </row>
    <row r="6" spans="2:5" x14ac:dyDescent="0.25">
      <c r="B6" s="2" t="s">
        <v>158</v>
      </c>
      <c r="C6" s="2" t="s">
        <v>159</v>
      </c>
      <c r="D6" s="2" t="s">
        <v>160</v>
      </c>
      <c r="E6" s="2" t="s">
        <v>161</v>
      </c>
    </row>
    <row r="7" spans="2:5" x14ac:dyDescent="0.25">
      <c r="B7" s="6" t="s">
        <v>5</v>
      </c>
      <c r="C7" s="7" t="s">
        <v>4</v>
      </c>
      <c r="D7" s="7">
        <f>'Absensi Bulanan'!AJ301</f>
        <v>0</v>
      </c>
      <c r="E7" s="8">
        <f>IF(SUM(D$7:D$11)&gt;0, D7/SUM(D$7:D$11), 0)</f>
        <v>0</v>
      </c>
    </row>
    <row r="8" spans="2:5" x14ac:dyDescent="0.25">
      <c r="B8" s="6" t="s">
        <v>7</v>
      </c>
      <c r="C8" s="7" t="s">
        <v>6</v>
      </c>
      <c r="D8" s="7">
        <f>'Absensi Bulanan'!AK301</f>
        <v>0</v>
      </c>
      <c r="E8" s="8">
        <f>IF(SUM(D$7:D$11)&gt;0, D8/SUM(D$7:D$11), 0)</f>
        <v>0</v>
      </c>
    </row>
    <row r="9" spans="2:5" x14ac:dyDescent="0.25">
      <c r="B9" s="6" t="s">
        <v>9</v>
      </c>
      <c r="C9" s="7" t="s">
        <v>8</v>
      </c>
      <c r="D9" s="7">
        <f>'Absensi Bulanan'!AL301</f>
        <v>0</v>
      </c>
      <c r="E9" s="8">
        <f>IF(SUM(D$7:D$11)&gt;0, D9/SUM(D$7:D$11), 0)</f>
        <v>0</v>
      </c>
    </row>
    <row r="10" spans="2:5" x14ac:dyDescent="0.25">
      <c r="B10" s="6" t="s">
        <v>133</v>
      </c>
      <c r="C10" s="7" t="s">
        <v>10</v>
      </c>
      <c r="D10" s="7">
        <f>'Absensi Bulanan'!AM301</f>
        <v>0</v>
      </c>
      <c r="E10" s="8">
        <f>IF(SUM(D$7:D$11)&gt;0, D10/SUM(D$7:D$11), 0)</f>
        <v>0</v>
      </c>
    </row>
    <row r="11" spans="2:5" x14ac:dyDescent="0.25">
      <c r="B11" s="6" t="s">
        <v>13</v>
      </c>
      <c r="C11" s="7" t="s">
        <v>12</v>
      </c>
      <c r="D11" s="7">
        <f>'Absensi Bulanan'!AN301</f>
        <v>0</v>
      </c>
      <c r="E11" s="8">
        <f>IF(SUM(D$7:D$11)&gt;0, D11/SUM(D$7:D$11), 0)</f>
        <v>0</v>
      </c>
    </row>
    <row r="14" spans="2:5" x14ac:dyDescent="0.25">
      <c r="B14" s="86" t="s">
        <v>167</v>
      </c>
      <c r="C14" s="86"/>
      <c r="D14" s="86"/>
      <c r="E14" s="86"/>
    </row>
    <row r="15" spans="2:5" x14ac:dyDescent="0.25">
      <c r="B15" s="16" t="s">
        <v>27</v>
      </c>
      <c r="C15" s="17" t="s">
        <v>159</v>
      </c>
      <c r="D15" s="17" t="s">
        <v>168</v>
      </c>
      <c r="E15" s="18" t="s">
        <v>161</v>
      </c>
    </row>
    <row r="16" spans="2:5" x14ac:dyDescent="0.25">
      <c r="B16" s="22" t="s">
        <v>169</v>
      </c>
      <c r="C16" s="23" t="s">
        <v>31</v>
      </c>
      <c r="D16" s="23">
        <f>COUNTIF('Data Karyawan'!$F$4:$F$500, "AKTIF")</f>
        <v>119</v>
      </c>
      <c r="E16" s="24">
        <f>IF(D21&gt;0, D16/D21, 0)</f>
        <v>1</v>
      </c>
    </row>
    <row r="17" spans="2:13" x14ac:dyDescent="0.25">
      <c r="B17" s="22" t="s">
        <v>171</v>
      </c>
      <c r="C17" s="23" t="s">
        <v>165</v>
      </c>
      <c r="D17" s="23">
        <f>COUNTIF('Data Karyawan'!$F$4:$F$500, "CUTI")</f>
        <v>0</v>
      </c>
      <c r="E17" s="24">
        <f>IF(D21&gt;0, D17/D21, 0)</f>
        <v>0</v>
      </c>
    </row>
    <row r="18" spans="2:13" x14ac:dyDescent="0.25">
      <c r="B18" s="22" t="s">
        <v>172</v>
      </c>
      <c r="C18" s="23" t="s">
        <v>164</v>
      </c>
      <c r="D18" s="23">
        <f>COUNTIF('Data Karyawan'!$F$4:$F$500, "NON AKTIF")</f>
        <v>0</v>
      </c>
      <c r="E18" s="24">
        <f>IF(D21&gt;0, D18/D21, 0)</f>
        <v>0</v>
      </c>
    </row>
    <row r="19" spans="2:13" x14ac:dyDescent="0.25">
      <c r="B19" s="22" t="s">
        <v>173</v>
      </c>
      <c r="C19" s="23" t="s">
        <v>166</v>
      </c>
      <c r="D19" s="23">
        <f>COUNTIF('Data Karyawan'!$F$4:$F$500, "RESIGN")</f>
        <v>0</v>
      </c>
      <c r="E19" s="24">
        <f>IF(D21&gt;0, D19/D21, 0)</f>
        <v>0</v>
      </c>
    </row>
    <row r="20" spans="2:13" x14ac:dyDescent="0.25">
      <c r="B20" s="22" t="s">
        <v>174</v>
      </c>
      <c r="C20" s="23" t="s">
        <v>52</v>
      </c>
      <c r="D20" s="23">
        <f>COUNTIF('Data Karyawan'!$F$4:$F$500, "OUT")</f>
        <v>0</v>
      </c>
      <c r="E20" s="24">
        <f>IF(D21&gt;0, D20/D21, 0)</f>
        <v>0</v>
      </c>
    </row>
    <row r="21" spans="2:13" x14ac:dyDescent="0.25">
      <c r="B21" s="19" t="s">
        <v>168</v>
      </c>
      <c r="C21" s="20" t="s">
        <v>170</v>
      </c>
      <c r="D21" s="20">
        <f>SUM(D16:D20)</f>
        <v>119</v>
      </c>
      <c r="E21" s="21">
        <f>IF(D21&gt;0, SUM(E16:E20), 0)</f>
        <v>1</v>
      </c>
    </row>
    <row r="24" spans="2:13" x14ac:dyDescent="0.25">
      <c r="B24" s="76" t="s">
        <v>175</v>
      </c>
      <c r="C24" s="77"/>
      <c r="D24" s="77"/>
      <c r="E24" s="76" t="s">
        <v>176</v>
      </c>
      <c r="F24" s="77"/>
      <c r="G24" s="77"/>
      <c r="H24" s="76" t="s">
        <v>177</v>
      </c>
      <c r="I24" s="77"/>
      <c r="J24" s="77"/>
      <c r="K24" s="76" t="s">
        <v>178</v>
      </c>
      <c r="L24" s="77"/>
      <c r="M24" s="82"/>
    </row>
    <row r="25" spans="2:13" x14ac:dyDescent="0.25">
      <c r="B25" s="87">
        <f>IFERROR('Absensi Bulanan'!AO301, 0)</f>
        <v>0</v>
      </c>
      <c r="C25" s="79"/>
      <c r="D25" s="79"/>
      <c r="E25" s="88">
        <f>'Ringkasan &amp; Grafik'!D16</f>
        <v>119</v>
      </c>
      <c r="F25" s="79"/>
      <c r="G25" s="79"/>
      <c r="H25" s="78">
        <f>'Absensi Bulanan'!AK301 + 'Absensi Bulanan'!AL301 + 'Absensi Bulanan'!AM301</f>
        <v>0</v>
      </c>
      <c r="I25" s="79"/>
      <c r="J25" s="79"/>
      <c r="K25" s="83">
        <f>'Ringkasan &amp; Grafik'!D18 + 'Ringkasan &amp; Grafik'!D19 + 'Ringkasan &amp; Grafik'!D20</f>
        <v>0</v>
      </c>
      <c r="L25" s="79"/>
      <c r="M25" s="84"/>
    </row>
    <row r="26" spans="2:13" x14ac:dyDescent="0.25">
      <c r="B26" s="80"/>
      <c r="C26" s="81"/>
      <c r="D26" s="81"/>
      <c r="E26" s="80"/>
      <c r="F26" s="81"/>
      <c r="G26" s="81"/>
      <c r="H26" s="80"/>
      <c r="I26" s="81"/>
      <c r="J26" s="81"/>
      <c r="K26" s="80"/>
      <c r="L26" s="81"/>
      <c r="M26" s="85"/>
    </row>
  </sheetData>
  <mergeCells count="9">
    <mergeCell ref="H24:J24"/>
    <mergeCell ref="H25:J26"/>
    <mergeCell ref="K24:M24"/>
    <mergeCell ref="K25:M26"/>
    <mergeCell ref="B14:E14"/>
    <mergeCell ref="B24:D24"/>
    <mergeCell ref="B25:D26"/>
    <mergeCell ref="E24:G24"/>
    <mergeCell ref="E25:G26"/>
  </mergeCells>
  <printOptions horizontalCentered="1"/>
  <pageMargins left="0.75" right="0.75" top="1" bottom="1" header="0.5" footer="0.5"/>
  <pageSetup paperSize="9" scale="8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Absensi Bulanan</vt:lpstr>
      <vt:lpstr>Data Karyawan</vt:lpstr>
      <vt:lpstr>Pengaturan</vt:lpstr>
      <vt:lpstr>Ringkasan &amp; Grafik</vt:lpstr>
      <vt:lpstr>'Absensi Bulanan'!Print_Area</vt:lpstr>
      <vt:lpstr>'Absensi Bulanan'!Print_Titles</vt:lpstr>
      <vt:lpstr>'Data Karyawan'!Print_Titles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ALJABAR</cp:lastModifiedBy>
  <cp:lastPrinted>2026-09-06T13:51:52Z</cp:lastPrinted>
  <dcterms:created xsi:type="dcterms:W3CDTF">2026-08-21T11:30:40Z</dcterms:created>
  <dcterms:modified xsi:type="dcterms:W3CDTF">2026-09-07T13:22:29Z</dcterms:modified>
</cp:coreProperties>
</file>